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C:\Users\miaflore\Desktop\uv\GPI\formatos\"/>
    </mc:Choice>
  </mc:AlternateContent>
  <xr:revisionPtr revIDLastSave="0" documentId="8_{84A03AF8-5A24-4C70-871C-9CD59489C3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Matriz de riesg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42" i="1"/>
  <c r="F39" i="1"/>
  <c r="F38" i="1"/>
  <c r="F34" i="1"/>
  <c r="F25" i="1"/>
  <c r="F24" i="1"/>
  <c r="F23" i="1"/>
  <c r="F22" i="1"/>
  <c r="F18" i="1"/>
  <c r="F10" i="1"/>
  <c r="E9" i="1"/>
  <c r="F6" i="1"/>
  <c r="D35" i="1"/>
  <c r="D26" i="1"/>
  <c r="K8" i="1"/>
  <c r="J43" i="1"/>
  <c r="J42" i="1"/>
  <c r="J39" i="1"/>
  <c r="J38" i="1"/>
  <c r="J37" i="1"/>
  <c r="J34" i="1"/>
  <c r="J33" i="1"/>
  <c r="J32" i="1"/>
  <c r="J31" i="1"/>
  <c r="J30" i="1"/>
  <c r="J29" i="1"/>
  <c r="J28" i="1"/>
  <c r="J25" i="1"/>
  <c r="J24" i="1"/>
  <c r="J23" i="1"/>
  <c r="J22" i="1"/>
  <c r="J21" i="1"/>
  <c r="J18" i="1"/>
  <c r="J17" i="1"/>
  <c r="J16" i="1"/>
  <c r="J15" i="1"/>
  <c r="J12" i="1"/>
  <c r="J11" i="1"/>
  <c r="J10" i="1"/>
  <c r="J9" i="1"/>
  <c r="J8" i="1"/>
  <c r="J6" i="1"/>
  <c r="J5" i="1"/>
  <c r="J4" i="1"/>
  <c r="J3" i="1"/>
  <c r="J2" i="1"/>
  <c r="I14" i="1"/>
  <c r="H14" i="1"/>
  <c r="I41" i="1"/>
  <c r="H41" i="1"/>
  <c r="I36" i="1"/>
  <c r="H36" i="1"/>
  <c r="H27" i="1"/>
  <c r="I27" i="1"/>
  <c r="J27" i="1" s="1"/>
  <c r="I20" i="1"/>
  <c r="H20" i="1"/>
  <c r="G10" i="1"/>
  <c r="M43" i="1"/>
  <c r="M42" i="1"/>
  <c r="M39" i="1"/>
  <c r="M38" i="1"/>
  <c r="M37" i="1"/>
  <c r="M34" i="1"/>
  <c r="M33" i="1"/>
  <c r="M32" i="1"/>
  <c r="M31" i="1"/>
  <c r="M30" i="1"/>
  <c r="M29" i="1"/>
  <c r="M28" i="1"/>
  <c r="M25" i="1"/>
  <c r="M24" i="1"/>
  <c r="M23" i="1"/>
  <c r="M22" i="1"/>
  <c r="M21" i="1"/>
  <c r="M18" i="1"/>
  <c r="M17" i="1"/>
  <c r="M16" i="1"/>
  <c r="M15" i="1"/>
  <c r="M12" i="1"/>
  <c r="M11" i="1"/>
  <c r="M10" i="1"/>
  <c r="M9" i="1"/>
  <c r="M6" i="1"/>
  <c r="M5" i="1"/>
  <c r="M4" i="1"/>
  <c r="M3" i="1"/>
  <c r="F3" i="1"/>
  <c r="E4" i="1" s="1"/>
  <c r="G43" i="1"/>
  <c r="G42" i="1"/>
  <c r="G39" i="1"/>
  <c r="G38" i="1"/>
  <c r="G37" i="1"/>
  <c r="G34" i="1"/>
  <c r="G31" i="1"/>
  <c r="G33" i="1"/>
  <c r="G32" i="1"/>
  <c r="G30" i="1"/>
  <c r="G29" i="1"/>
  <c r="G28" i="1"/>
  <c r="G25" i="1"/>
  <c r="G24" i="1"/>
  <c r="G22" i="1"/>
  <c r="G23" i="1"/>
  <c r="G21" i="1"/>
  <c r="G18" i="1"/>
  <c r="G17" i="1"/>
  <c r="G16" i="1"/>
  <c r="G15" i="1"/>
  <c r="G12" i="1"/>
  <c r="G6" i="1"/>
  <c r="G11" i="1"/>
  <c r="G9" i="1"/>
  <c r="L43" i="1"/>
  <c r="L42" i="1"/>
  <c r="L39" i="1"/>
  <c r="L38" i="1"/>
  <c r="L37" i="1"/>
  <c r="L34" i="1"/>
  <c r="L33" i="1"/>
  <c r="L32" i="1"/>
  <c r="L31" i="1"/>
  <c r="L30" i="1"/>
  <c r="L29" i="1"/>
  <c r="L28" i="1"/>
  <c r="L25" i="1"/>
  <c r="L24" i="1"/>
  <c r="L23" i="1"/>
  <c r="L22" i="1"/>
  <c r="L21" i="1"/>
  <c r="L18" i="1"/>
  <c r="L17" i="1"/>
  <c r="L16" i="1"/>
  <c r="L15" i="1"/>
  <c r="L12" i="1"/>
  <c r="L11" i="1"/>
  <c r="L10" i="1"/>
  <c r="L9" i="1"/>
  <c r="L6" i="1"/>
  <c r="L5" i="1"/>
  <c r="L4" i="1"/>
  <c r="L3" i="1"/>
  <c r="G5" i="1"/>
  <c r="G4" i="1"/>
  <c r="K41" i="1"/>
  <c r="K36" i="1"/>
  <c r="K27" i="1"/>
  <c r="K20" i="1"/>
  <c r="K14" i="1"/>
  <c r="M14" i="1" s="1"/>
  <c r="M8" i="1"/>
  <c r="K2" i="1"/>
  <c r="M2" i="1" s="1"/>
  <c r="D55" i="1"/>
  <c r="J20" i="1" l="1"/>
  <c r="J36" i="1"/>
  <c r="J41" i="1"/>
  <c r="J14" i="1"/>
  <c r="L20" i="1"/>
  <c r="M20" i="1"/>
  <c r="L27" i="1"/>
  <c r="M27" i="1"/>
  <c r="L36" i="1"/>
  <c r="M36" i="1"/>
  <c r="L41" i="1"/>
  <c r="M41" i="1"/>
  <c r="N56" i="1" s="1"/>
  <c r="N51" i="1"/>
  <c r="L2" i="1"/>
  <c r="N50" i="1"/>
  <c r="O50" i="1" s="1"/>
  <c r="L8" i="1"/>
  <c r="N48" i="1"/>
  <c r="L14" i="1"/>
  <c r="F4" i="1"/>
  <c r="E5" i="1" s="1"/>
  <c r="F5" i="1" s="1"/>
  <c r="E6" i="1" s="1"/>
  <c r="N49" i="1"/>
  <c r="O49" i="1" s="1"/>
  <c r="O48" i="1"/>
  <c r="N53" i="1"/>
  <c r="F7" i="1" l="1"/>
  <c r="E7" i="1"/>
  <c r="E53" i="1"/>
  <c r="E8" i="1"/>
  <c r="F9" i="1" s="1"/>
  <c r="E10" i="1" s="1"/>
  <c r="E11" i="1" s="1"/>
  <c r="F11" i="1" s="1"/>
  <c r="F2" i="1"/>
  <c r="O54" i="1"/>
  <c r="N54" i="1"/>
  <c r="O51" i="1"/>
  <c r="O53" i="1" s="1"/>
  <c r="E12" i="1" l="1"/>
  <c r="F12" i="1" s="1"/>
  <c r="E13" i="1" s="1"/>
  <c r="F13" i="1" s="1"/>
  <c r="E55" i="1" l="1"/>
  <c r="F8" i="1"/>
  <c r="E14" i="1"/>
  <c r="E15" i="1" l="1"/>
  <c r="F15" i="1" s="1"/>
  <c r="E16" i="1" s="1"/>
  <c r="F16" i="1" s="1"/>
  <c r="E17" i="1" s="1"/>
  <c r="F17" i="1" s="1"/>
  <c r="E18" i="1" s="1"/>
  <c r="F14" i="1" l="1"/>
  <c r="E19" i="1"/>
  <c r="F19" i="1" s="1"/>
  <c r="E20" i="1"/>
  <c r="E21" i="1" s="1"/>
  <c r="F21" i="1" s="1"/>
  <c r="E22" i="1" s="1"/>
  <c r="E23" i="1" l="1"/>
  <c r="E24" i="1" l="1"/>
  <c r="E25" i="1" s="1"/>
  <c r="E27" i="1" l="1"/>
  <c r="F20" i="1" l="1"/>
  <c r="E26" i="1"/>
  <c r="F26" i="1" s="1"/>
  <c r="E28" i="1"/>
  <c r="F28" i="1" s="1"/>
  <c r="E29" i="1" l="1"/>
  <c r="F29" i="1" s="1"/>
  <c r="E30" i="1" s="1"/>
  <c r="F30" i="1" s="1"/>
  <c r="E31" i="1" s="1"/>
  <c r="F31" i="1" s="1"/>
  <c r="E32" i="1" l="1"/>
  <c r="F32" i="1" l="1"/>
  <c r="E33" i="1" s="1"/>
  <c r="F33" i="1" l="1"/>
  <c r="E34" i="1" s="1"/>
  <c r="E35" i="1" s="1"/>
  <c r="F35" i="1" s="1"/>
  <c r="F27" i="1" l="1"/>
  <c r="E36" i="1"/>
  <c r="E37" i="1" s="1"/>
  <c r="F37" i="1" s="1"/>
  <c r="E38" i="1" s="1"/>
  <c r="E39" i="1" s="1"/>
  <c r="F40" i="1" l="1"/>
  <c r="E40" i="1"/>
  <c r="E41" i="1"/>
  <c r="E42" i="1" s="1"/>
  <c r="F36" i="1"/>
  <c r="E43" i="1" l="1"/>
  <c r="F41" i="1" l="1"/>
  <c r="E44" i="1"/>
  <c r="F44" i="1" s="1"/>
</calcChain>
</file>

<file path=xl/sharedStrings.xml><?xml version="1.0" encoding="utf-8"?>
<sst xmlns="http://schemas.openxmlformats.org/spreadsheetml/2006/main" count="358" uniqueCount="268">
  <si>
    <t>Numero de EDT</t>
  </si>
  <si>
    <t>Etapa</t>
  </si>
  <si>
    <t>Nombre de tarea</t>
  </si>
  <si>
    <t>Asignado a</t>
  </si>
  <si>
    <t>Fecha planificada de inicio</t>
  </si>
  <si>
    <t>Fecha planificada de termino</t>
  </si>
  <si>
    <t>Dependencia (EDT)</t>
  </si>
  <si>
    <t>Progreso planificado %</t>
  </si>
  <si>
    <t>Progreso real</t>
  </si>
  <si>
    <t>Desviación</t>
  </si>
  <si>
    <t>Duración (horas)</t>
  </si>
  <si>
    <t>Duracion (Dias)</t>
  </si>
  <si>
    <t>Duracion real en dias(10 horas al dia)</t>
  </si>
  <si>
    <t>Descripción de tarea</t>
  </si>
  <si>
    <t>Costo</t>
  </si>
  <si>
    <t>Actual cost</t>
  </si>
  <si>
    <t>Inicio / Planificación</t>
  </si>
  <si>
    <t>1.1</t>
  </si>
  <si>
    <t>Definición del alcance</t>
  </si>
  <si>
    <t>Nikolas</t>
  </si>
  <si>
    <t>-</t>
  </si>
  <si>
    <t>Definir alcance del sistema</t>
  </si>
  <si>
    <t>1.2</t>
  </si>
  <si>
    <t>Identificación de requisitos funcionales</t>
  </si>
  <si>
    <t>Identificar funcionalidades del sistema</t>
  </si>
  <si>
    <t>1.3</t>
  </si>
  <si>
    <t>Identificación de requisitos no funcionales</t>
  </si>
  <si>
    <t>Definir requisitos de calidad</t>
  </si>
  <si>
    <t>1.4</t>
  </si>
  <si>
    <t>Validación de requisitos</t>
  </si>
  <si>
    <t>Revisar y validar requisitos</t>
  </si>
  <si>
    <t>1.5</t>
  </si>
  <si>
    <t>HITO</t>
  </si>
  <si>
    <t>Termino de la planificacion del proyecto</t>
  </si>
  <si>
    <t>Análisis de Requisitos</t>
  </si>
  <si>
    <t>2.1</t>
  </si>
  <si>
    <t>Análisis de competencia</t>
  </si>
  <si>
    <t>Nikolas, Dante</t>
  </si>
  <si>
    <t>Estudio de sistemas similares</t>
  </si>
  <si>
    <t>2.2</t>
  </si>
  <si>
    <t>Definición de casos de uso</t>
  </si>
  <si>
    <t>Identificar interacciones del sistema</t>
  </si>
  <si>
    <t>2.3</t>
  </si>
  <si>
    <t>Identificación de restricciones</t>
  </si>
  <si>
    <t>Definir limitaciones del sistema</t>
  </si>
  <si>
    <t>2.4</t>
  </si>
  <si>
    <t>Validación del análisis</t>
  </si>
  <si>
    <t>Confirmar análisis realizado</t>
  </si>
  <si>
    <t>2.5</t>
  </si>
  <si>
    <t>Termino del analisis del proyecto</t>
  </si>
  <si>
    <t>Diseño</t>
  </si>
  <si>
    <t>3.1</t>
  </si>
  <si>
    <t>Diseño de base de datos</t>
  </si>
  <si>
    <t>Franko, Elizabeth</t>
  </si>
  <si>
    <t>Modelar base de datos</t>
  </si>
  <si>
    <t>3.2</t>
  </si>
  <si>
    <t>Diseño de arquitectura</t>
  </si>
  <si>
    <t>Definir estructura del sistema</t>
  </si>
  <si>
    <t>3.3</t>
  </si>
  <si>
    <t>Diseño de interfaz</t>
  </si>
  <si>
    <t>Crear wireframes</t>
  </si>
  <si>
    <t>3.4</t>
  </si>
  <si>
    <t>Especificación Técnica</t>
  </si>
  <si>
    <t>Documentar diseño técnico</t>
  </si>
  <si>
    <t>3.5</t>
  </si>
  <si>
    <t>Termino del diseño del proyecto</t>
  </si>
  <si>
    <t>Desarrollo</t>
  </si>
  <si>
    <t>4.1</t>
  </si>
  <si>
    <t>Configuración del entorno</t>
  </si>
  <si>
    <t>Preparar entorno de desarrollo y recoleccion de datos</t>
  </si>
  <si>
    <t>4.2</t>
  </si>
  <si>
    <t>Creación de base de datos</t>
  </si>
  <si>
    <t>Implementar base de datos</t>
  </si>
  <si>
    <t>4.3</t>
  </si>
  <si>
    <t>Desarrollo frontend</t>
  </si>
  <si>
    <t>Construir interfaz de usuario</t>
  </si>
  <si>
    <t>4.4</t>
  </si>
  <si>
    <t>Desarrollo backend</t>
  </si>
  <si>
    <t>Programar lógica del sistema</t>
  </si>
  <si>
    <t>4.5</t>
  </si>
  <si>
    <t>Integración del sistema</t>
  </si>
  <si>
    <t>Integrar frontend y backend</t>
  </si>
  <si>
    <t>4.6</t>
  </si>
  <si>
    <t>Termino del desarrollo del proyecto</t>
  </si>
  <si>
    <t>Aseguramiento de la calidad</t>
  </si>
  <si>
    <t>5.1</t>
  </si>
  <si>
    <t>Prueba Unitaria</t>
  </si>
  <si>
    <t xml:space="preserve">Dante </t>
  </si>
  <si>
    <t>Probar componentes individuales</t>
  </si>
  <si>
    <t>5.2</t>
  </si>
  <si>
    <t>Prueba Funcional</t>
  </si>
  <si>
    <t>Dante</t>
  </si>
  <si>
    <t>Validar funcionalidades</t>
  </si>
  <si>
    <t>5.3</t>
  </si>
  <si>
    <t>Prueba de Integración</t>
  </si>
  <si>
    <t>Verificar integración</t>
  </si>
  <si>
    <t>5.4</t>
  </si>
  <si>
    <t>Prueba de Regresión</t>
  </si>
  <si>
    <t>verificar regresión</t>
  </si>
  <si>
    <t>5.5</t>
  </si>
  <si>
    <t>Prueba de Sistema</t>
  </si>
  <si>
    <t>verificar sistema</t>
  </si>
  <si>
    <t>5.6</t>
  </si>
  <si>
    <t>Prueba de Aceptación de Usuario</t>
  </si>
  <si>
    <t>validar aceptación</t>
  </si>
  <si>
    <t>5.7</t>
  </si>
  <si>
    <t>Corrección de errores</t>
  </si>
  <si>
    <t>Resolver fallos detectados</t>
  </si>
  <si>
    <t>5.8</t>
  </si>
  <si>
    <t>Termino de las pruebas del proyecto</t>
  </si>
  <si>
    <t>Implementación</t>
  </si>
  <si>
    <t>6.1</t>
  </si>
  <si>
    <t>Despliegue</t>
  </si>
  <si>
    <t>Publicar sistema</t>
  </si>
  <si>
    <t>6.2</t>
  </si>
  <si>
    <t>Configuración entorno</t>
  </si>
  <si>
    <t>Ajustar entorno productivo</t>
  </si>
  <si>
    <t>6.3</t>
  </si>
  <si>
    <t>Capacitación</t>
  </si>
  <si>
    <t>Explicar uso del sistema</t>
  </si>
  <si>
    <t>6.4</t>
  </si>
  <si>
    <t>Termino de la implementacion del proyecto</t>
  </si>
  <si>
    <t>Dante, Nikolas</t>
  </si>
  <si>
    <t>Documentacion final</t>
  </si>
  <si>
    <t>7.1</t>
  </si>
  <si>
    <t>Documentación final</t>
  </si>
  <si>
    <t>Consolidar documentación</t>
  </si>
  <si>
    <t>7.2</t>
  </si>
  <si>
    <t>Cierre del proyecto</t>
  </si>
  <si>
    <t>Finalización del proyecto</t>
  </si>
  <si>
    <t>7.3</t>
  </si>
  <si>
    <t>Finalizacion del proyecto</t>
  </si>
  <si>
    <t>todos</t>
  </si>
  <si>
    <t>Calculations From Other Tabs</t>
  </si>
  <si>
    <t xml:space="preserve">, </t>
  </si>
  <si>
    <t>Distribuciones</t>
  </si>
  <si>
    <r>
      <rPr>
        <sz val="11"/>
        <color rgb="FF000000"/>
        <rFont val="Calibri"/>
        <scheme val="minor"/>
      </rPr>
      <t xml:space="preserve">Inicio: </t>
    </r>
    <r>
      <rPr>
        <b/>
        <sz val="11"/>
        <color rgb="FF000000"/>
        <rFont val="Calibri"/>
        <scheme val="minor"/>
      </rPr>
      <t>13 de marzo</t>
    </r>
  </si>
  <si>
    <t>TCF</t>
  </si>
  <si>
    <r>
      <t>Technical</t>
    </r>
    <r>
      <rPr>
        <sz val="12"/>
        <rFont val="Arial"/>
      </rPr>
      <t xml:space="preserve"> Complexity Factor</t>
    </r>
  </si>
  <si>
    <t>Integrantes</t>
  </si>
  <si>
    <t>total horas por persona</t>
  </si>
  <si>
    <t>En dias</t>
  </si>
  <si>
    <t xml:space="preserve">planificacion </t>
  </si>
  <si>
    <t>se asumio que se trabaja</t>
  </si>
  <si>
    <t>EF</t>
  </si>
  <si>
    <r>
      <t>Environmental</t>
    </r>
    <r>
      <rPr>
        <sz val="12"/>
        <rFont val="Arial"/>
      </rPr>
      <t xml:space="preserve"> Factor</t>
    </r>
  </si>
  <si>
    <t>Franko</t>
  </si>
  <si>
    <t>analisis</t>
  </si>
  <si>
    <t>de lunes a domingo</t>
  </si>
  <si>
    <t>UUCP</t>
  </si>
  <si>
    <r>
      <t xml:space="preserve">Unadjusted </t>
    </r>
    <r>
      <rPr>
        <sz val="12"/>
        <color rgb="FF800000"/>
        <rFont val="Arial"/>
        <family val="2"/>
      </rPr>
      <t>Use Case</t>
    </r>
    <r>
      <rPr>
        <sz val="12"/>
        <rFont val="Arial"/>
      </rPr>
      <t xml:space="preserve"> Points</t>
    </r>
  </si>
  <si>
    <t>Elizabeth</t>
  </si>
  <si>
    <t>diseño</t>
  </si>
  <si>
    <t>y 10 horas al dia</t>
  </si>
  <si>
    <t>AW</t>
  </si>
  <si>
    <r>
      <t>Actor</t>
    </r>
    <r>
      <rPr>
        <sz val="12"/>
        <rFont val="Arial"/>
      </rPr>
      <t xml:space="preserve"> Weighting</t>
    </r>
  </si>
  <si>
    <t>desarrollo</t>
  </si>
  <si>
    <r>
      <rPr>
        <sz val="11"/>
        <color rgb="FF000000"/>
        <rFont val="Calibri"/>
        <scheme val="minor"/>
      </rPr>
      <t xml:space="preserve">termina: </t>
    </r>
    <r>
      <rPr>
        <b/>
        <sz val="11"/>
        <color rgb="FF000000"/>
        <rFont val="Calibri"/>
        <scheme val="minor"/>
      </rPr>
      <t>17 de diciembre</t>
    </r>
  </si>
  <si>
    <t>Calculation of Use Case Points</t>
  </si>
  <si>
    <t>pruebas</t>
  </si>
  <si>
    <t>fin de la planificacion:</t>
  </si>
  <si>
    <t>UCP</t>
  </si>
  <si>
    <t>Use Case Points</t>
  </si>
  <si>
    <t xml:space="preserve">total horas </t>
  </si>
  <si>
    <t>total dias</t>
  </si>
  <si>
    <t>implementacion</t>
  </si>
  <si>
    <t>Calculation of Estimated Effort</t>
  </si>
  <si>
    <t>documentacion final</t>
  </si>
  <si>
    <t>fin del analisis:</t>
  </si>
  <si>
    <t>Ratio</t>
  </si>
  <si>
    <t>Hours of Effort per Use Case Point</t>
  </si>
  <si>
    <t>Total</t>
  </si>
  <si>
    <t> </t>
  </si>
  <si>
    <t>total dias que se tardara si se trabaja 10 horas al dia, todos los dias</t>
  </si>
  <si>
    <t>tambien cuando hay mas de un</t>
  </si>
  <si>
    <t>Hours of Effort</t>
  </si>
  <si>
    <t>integrante las horas se distribuyen</t>
  </si>
  <si>
    <t>tipo se les asignan tareas</t>
  </si>
  <si>
    <t>ID</t>
  </si>
  <si>
    <t>Riesgo</t>
  </si>
  <si>
    <t>PESTLE</t>
  </si>
  <si>
    <t>Tipo</t>
  </si>
  <si>
    <t>Probabilidad</t>
  </si>
  <si>
    <t>Impacto</t>
  </si>
  <si>
    <t>Nivel</t>
  </si>
  <si>
    <t>Mitigación</t>
  </si>
  <si>
    <t>Responsable</t>
  </si>
  <si>
    <t>Plazo</t>
  </si>
  <si>
    <t>R01</t>
  </si>
  <si>
    <t>Baja experiencia técnica del equipo en desarrollo web</t>
  </si>
  <si>
    <t>Social</t>
  </si>
  <si>
    <t>Organizacional</t>
  </si>
  <si>
    <t>A</t>
  </si>
  <si>
    <t>No Aceptable</t>
  </si>
  <si>
    <t>Capacitación y revisión de código</t>
  </si>
  <si>
    <t xml:space="preserve">Líder Equipo </t>
  </si>
  <si>
    <t>Sem 1–2</t>
  </si>
  <si>
    <t>R02</t>
  </si>
  <si>
    <t>Disponibilidad parcial por carga académica</t>
  </si>
  <si>
    <t>M</t>
  </si>
  <si>
    <t>Alto</t>
  </si>
  <si>
    <t>Holgura en cronograma y reuniones</t>
  </si>
  <si>
    <t>Todos</t>
  </si>
  <si>
    <t>Todo el proyecto</t>
  </si>
  <si>
    <t>R03</t>
  </si>
  <si>
    <t>Pérdida de avances del proyecto por mala gestión de versiones</t>
  </si>
  <si>
    <t>Tecnológico</t>
  </si>
  <si>
    <t>Técnico</t>
  </si>
  <si>
    <t>Uso de Git y backups</t>
  </si>
  <si>
    <t>Dev Backend</t>
  </si>
  <si>
    <t>Sem 1</t>
  </si>
  <si>
    <t>R04</t>
  </si>
  <si>
    <t>Cambios en requisitos durante el desarrollo</t>
  </si>
  <si>
    <t>Gestión</t>
  </si>
  <si>
    <t>Moderado</t>
  </si>
  <si>
    <t>Control de cambios y validación</t>
  </si>
  <si>
    <t>Líder Proyecto</t>
  </si>
  <si>
    <t>Fase análisis</t>
  </si>
  <si>
    <t>R05</t>
  </si>
  <si>
    <t>Retrasos en la integración por mala coordinación entre frontend y backend</t>
  </si>
  <si>
    <t>Definir API y coordinación</t>
  </si>
  <si>
    <t>Equipo Dev</t>
  </si>
  <si>
    <t>Fase implementación</t>
  </si>
  <si>
    <t>R06</t>
  </si>
  <si>
    <t>Tiempo insuficiente para completar el proyecto</t>
  </si>
  <si>
    <t>Priorizar funcionalidades</t>
  </si>
  <si>
    <t>R07</t>
  </si>
  <si>
    <t>Retrasos por reprocesamiento de datos mal definidos</t>
  </si>
  <si>
    <t>Validación temprana de datos</t>
  </si>
  <si>
    <t>R08</t>
  </si>
  <si>
    <t>Re-trabajo en diseño por falta de validación temprana</t>
  </si>
  <si>
    <t>B</t>
  </si>
  <si>
    <t>Bajo</t>
  </si>
  <si>
    <t>Uso de wireframes y revisión</t>
  </si>
  <si>
    <t>Dev Frontend</t>
  </si>
  <si>
    <t>Fase diseño</t>
  </si>
  <si>
    <t>R09</t>
  </si>
  <si>
    <t>Retrasos en pruebas por incompatibilidades no detectadas</t>
  </si>
  <si>
    <t>Pruebas en múltiples navegadores</t>
  </si>
  <si>
    <t>Fase pruebas</t>
  </si>
  <si>
    <t>R10</t>
  </si>
  <si>
    <t>Falta de comunicación o conflictos internos</t>
  </si>
  <si>
    <t>Definir canales y roles</t>
  </si>
  <si>
    <t xml:space="preserve">Matriz de Riesgo 3×3 </t>
  </si>
  <si>
    <t>Prob. \ Impacto</t>
  </si>
  <si>
    <t>Impacto Bajo</t>
  </si>
  <si>
    <t>Impacto Moderado</t>
  </si>
  <si>
    <t>Impacto Alto</t>
  </si>
  <si>
    <t>Probabilidad Alta</t>
  </si>
  <si>
    <r>
      <rPr>
        <b/>
        <sz val="10"/>
        <color rgb="FF000000"/>
        <rFont val="Arial"/>
      </rPr>
      <t xml:space="preserve">Establecer Planes de contingencia
</t>
    </r>
    <r>
      <rPr>
        <sz val="10"/>
        <color rgb="FF000000"/>
        <rFont val="Arial"/>
      </rPr>
      <t xml:space="preserve">Revisar Regularmente
</t>
    </r>
    <r>
      <rPr>
        <b/>
        <sz val="10"/>
        <color rgb="FF000000"/>
        <rFont val="Arial"/>
      </rPr>
      <t>—</t>
    </r>
  </si>
  <si>
    <r>
      <rPr>
        <b/>
        <sz val="10"/>
        <color rgb="FF000000"/>
        <rFont val="Arial"/>
      </rPr>
      <t xml:space="preserve">Establecer Planes de contingencia
</t>
    </r>
    <r>
      <rPr>
        <sz val="10"/>
        <color rgb="FF000000"/>
        <rFont val="Arial"/>
      </rPr>
      <t xml:space="preserve">Actuar Inmediatamente en base a Costo-Beneficio
</t>
    </r>
    <r>
      <rPr>
        <b/>
        <sz val="10"/>
        <color rgb="FF000000"/>
        <rFont val="Arial"/>
      </rPr>
      <t>R02</t>
    </r>
  </si>
  <si>
    <r>
      <rPr>
        <b/>
        <sz val="10"/>
        <color rgb="FF000000"/>
        <rFont val="Arial"/>
      </rPr>
      <t xml:space="preserve">No Aceptable
</t>
    </r>
    <r>
      <rPr>
        <sz val="10"/>
        <color rgb="FF000000"/>
        <rFont val="Arial"/>
      </rPr>
      <t xml:space="preserve">Tomar acción inmediata
</t>
    </r>
    <r>
      <rPr>
        <b/>
        <sz val="10"/>
        <color rgb="FF000000"/>
        <rFont val="Arial"/>
      </rPr>
      <t>R01, R06</t>
    </r>
  </si>
  <si>
    <t>Probabilidad
Moderada</t>
  </si>
  <si>
    <r>
      <rPr>
        <b/>
        <sz val="10"/>
        <color rgb="FF000000"/>
        <rFont val="Arial"/>
      </rPr>
      <t xml:space="preserve">Aceptable, No hacer nada
</t>
    </r>
    <r>
      <rPr>
        <sz val="10"/>
        <color rgb="FF000000"/>
        <rFont val="Arial"/>
      </rPr>
      <t xml:space="preserve">Revisar Regularmente
</t>
    </r>
    <r>
      <rPr>
        <b/>
        <sz val="10"/>
        <color rgb="FF000000"/>
        <rFont val="Arial"/>
      </rPr>
      <t>—</t>
    </r>
  </si>
  <si>
    <r>
      <rPr>
        <b/>
        <sz val="10"/>
        <color rgb="FF000000"/>
        <rFont val="Arial"/>
      </rPr>
      <t xml:space="preserve">Establecer Planes de contingencia
</t>
    </r>
    <r>
      <rPr>
        <sz val="10"/>
        <color rgb="FF000000"/>
        <rFont val="Arial"/>
      </rPr>
      <t xml:space="preserve">Revisar Frecuentemente
</t>
    </r>
    <r>
      <rPr>
        <b/>
        <sz val="10"/>
        <color rgb="FF000000"/>
        <rFont val="Arial"/>
      </rPr>
      <t>R04, R05, R07</t>
    </r>
  </si>
  <si>
    <r>
      <rPr>
        <b/>
        <sz val="10"/>
        <color rgb="FF000000"/>
        <rFont val="Arial"/>
      </rPr>
      <t xml:space="preserve">Establecer Planes de contingencia
</t>
    </r>
    <r>
      <rPr>
        <sz val="10"/>
        <color rgb="FF000000"/>
        <rFont val="Arial"/>
      </rPr>
      <t xml:space="preserve">Actuar Inmediatamente en base a Costo-Beneficio
</t>
    </r>
    <r>
      <rPr>
        <b/>
        <sz val="10"/>
        <color rgb="FF000000"/>
        <rFont val="Arial"/>
      </rPr>
      <t>R03</t>
    </r>
  </si>
  <si>
    <t>Probabilidad Baja</t>
  </si>
  <si>
    <r>
      <rPr>
        <b/>
        <sz val="10"/>
        <color rgb="FF000000"/>
        <rFont val="Arial"/>
      </rPr>
      <t xml:space="preserve">Aceptable, No hacer nada
</t>
    </r>
    <r>
      <rPr>
        <sz val="10"/>
        <color rgb="FF000000"/>
        <rFont val="Arial"/>
      </rPr>
      <t xml:space="preserve">Revisar Ocasionalmente
</t>
    </r>
    <r>
      <rPr>
        <b/>
        <sz val="10"/>
        <color rgb="FF000000"/>
        <rFont val="Arial"/>
      </rPr>
      <t>R09</t>
    </r>
  </si>
  <si>
    <r>
      <rPr>
        <b/>
        <sz val="10"/>
        <color rgb="FF000000"/>
        <rFont val="Arial"/>
      </rPr>
      <t xml:space="preserve">Establecer Planes de contingencia
</t>
    </r>
    <r>
      <rPr>
        <sz val="10"/>
        <color rgb="FF000000"/>
        <rFont val="Arial"/>
      </rPr>
      <t xml:space="preserve">Revisar Regularmente
</t>
    </r>
    <r>
      <rPr>
        <b/>
        <sz val="10"/>
        <color rgb="FF000000"/>
        <rFont val="Arial"/>
      </rPr>
      <t>R08</t>
    </r>
  </si>
  <si>
    <r>
      <rPr>
        <b/>
        <sz val="10"/>
        <color rgb="FF000000"/>
        <rFont val="Arial"/>
      </rPr>
      <t xml:space="preserve">Establecer Planes de contingencia
</t>
    </r>
    <r>
      <rPr>
        <sz val="10"/>
        <color rgb="FF000000"/>
        <rFont val="Arial"/>
      </rPr>
      <t xml:space="preserve">Actuar Inmediatamente en base a Costo-Beneficio
</t>
    </r>
    <r>
      <rPr>
        <b/>
        <sz val="10"/>
        <color rgb="FF000000"/>
        <rFont val="Arial"/>
      </rPr>
      <t>R10</t>
    </r>
  </si>
  <si>
    <t xml:space="preserve">Leyenda </t>
  </si>
  <si>
    <t>Acción</t>
  </si>
  <si>
    <t>Tomar acción inmediata. Sin planes de contingencia.</t>
  </si>
  <si>
    <t>Planes de Contingencia</t>
  </si>
  <si>
    <t>Actuar inmediatamente en base a análisis Costo-Beneficio.</t>
  </si>
  <si>
    <t>Establecer planes de contingencia. Revisar frecuentemente.</t>
  </si>
  <si>
    <t>Aceptable</t>
  </si>
  <si>
    <t>No hacer nada o revisar ocasionalmente.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</si>
</sst>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9"/>
      <color rgb="FF222222"/>
      <name val="Calibri"/>
      <family val="2"/>
    </font>
    <font>
      <b/>
      <sz val="11"/>
      <name val="Calibri"/>
      <family val="2"/>
    </font>
    <font>
      <b/>
      <sz val="10"/>
      <color rgb="FF222222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FFFF"/>
      <name val="Arial"/>
    </font>
    <font>
      <sz val="12"/>
      <name val="Arial"/>
    </font>
    <font>
      <sz val="12"/>
      <color rgb="FF800000"/>
      <name val="Arial"/>
      <family val="2"/>
    </font>
    <font>
      <b/>
      <sz val="16"/>
      <color rgb="FF800000"/>
      <name val="Arial"/>
      <family val="2"/>
    </font>
    <font>
      <b/>
      <sz val="16"/>
      <color rgb="FFFFFFFF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800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14" fontId="4" fillId="0" borderId="0" xfId="0" applyNumberFormat="1" applyFont="1"/>
    <xf numFmtId="9" fontId="0" fillId="0" borderId="0" xfId="0" applyNumberFormat="1"/>
    <xf numFmtId="0" fontId="0" fillId="0" borderId="2" xfId="0" applyBorder="1"/>
    <xf numFmtId="0" fontId="0" fillId="0" borderId="3" xfId="0" applyBorder="1"/>
    <xf numFmtId="0" fontId="5" fillId="0" borderId="0" xfId="0" applyFont="1"/>
    <xf numFmtId="0" fontId="6" fillId="0" borderId="0" xfId="0" applyFont="1"/>
    <xf numFmtId="0" fontId="9" fillId="0" borderId="9" xfId="0" applyFont="1" applyBorder="1"/>
    <xf numFmtId="0" fontId="8" fillId="0" borderId="10" xfId="0" applyFont="1" applyBorder="1"/>
    <xf numFmtId="0" fontId="8" fillId="0" borderId="9" xfId="0" applyFont="1" applyBorder="1"/>
    <xf numFmtId="0" fontId="8" fillId="5" borderId="10" xfId="0" applyFont="1" applyFill="1" applyBorder="1"/>
    <xf numFmtId="3" fontId="11" fillId="4" borderId="15" xfId="0" applyNumberFormat="1" applyFont="1" applyFill="1" applyBorder="1"/>
    <xf numFmtId="0" fontId="6" fillId="0" borderId="4" xfId="0" applyFont="1" applyBorder="1"/>
    <xf numFmtId="0" fontId="0" fillId="0" borderId="16" xfId="0" applyBorder="1"/>
    <xf numFmtId="0" fontId="0" fillId="0" borderId="17" xfId="0" applyBorder="1"/>
    <xf numFmtId="9" fontId="6" fillId="0" borderId="18" xfId="0" applyNumberFormat="1" applyFont="1" applyBorder="1"/>
    <xf numFmtId="9" fontId="0" fillId="0" borderId="19" xfId="0" applyNumberFormat="1" applyBorder="1"/>
    <xf numFmtId="9" fontId="0" fillId="0" borderId="20" xfId="0" applyNumberFormat="1" applyBorder="1"/>
    <xf numFmtId="0" fontId="8" fillId="0" borderId="21" xfId="0" applyFont="1" applyBorder="1"/>
    <xf numFmtId="0" fontId="6" fillId="0" borderId="22" xfId="0" applyFont="1" applyBorder="1"/>
    <xf numFmtId="0" fontId="0" fillId="0" borderId="23" xfId="0" applyBorder="1"/>
    <xf numFmtId="0" fontId="6" fillId="0" borderId="19" xfId="0" applyFont="1" applyBorder="1"/>
    <xf numFmtId="0" fontId="0" fillId="0" borderId="19" xfId="0" applyBorder="1"/>
    <xf numFmtId="0" fontId="12" fillId="0" borderId="0" xfId="0" applyFont="1"/>
    <xf numFmtId="0" fontId="6" fillId="0" borderId="2" xfId="0" applyFont="1" applyBorder="1"/>
    <xf numFmtId="14" fontId="13" fillId="0" borderId="0" xfId="0" applyNumberFormat="1" applyFont="1"/>
    <xf numFmtId="0" fontId="0" fillId="0" borderId="24" xfId="0" applyBorder="1"/>
    <xf numFmtId="9" fontId="0" fillId="0" borderId="2" xfId="0" applyNumberFormat="1" applyBorder="1"/>
    <xf numFmtId="14" fontId="0" fillId="0" borderId="0" xfId="0" applyNumberFormat="1"/>
    <xf numFmtId="14" fontId="6" fillId="0" borderId="0" xfId="0" applyNumberFormat="1" applyFont="1"/>
    <xf numFmtId="0" fontId="14" fillId="0" borderId="4" xfId="0" applyFont="1" applyBorder="1"/>
    <xf numFmtId="0" fontId="14" fillId="0" borderId="16" xfId="0" applyFont="1" applyBorder="1"/>
    <xf numFmtId="9" fontId="0" fillId="0" borderId="18" xfId="0" applyNumberFormat="1" applyBorder="1"/>
    <xf numFmtId="14" fontId="6" fillId="0" borderId="16" xfId="0" applyNumberFormat="1" applyFont="1" applyBorder="1"/>
    <xf numFmtId="0" fontId="6" fillId="0" borderId="16" xfId="0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0" fontId="17" fillId="0" borderId="9" xfId="0" applyFont="1" applyBorder="1"/>
    <xf numFmtId="0" fontId="0" fillId="0" borderId="0" xfId="0" applyAlignment="1">
      <alignment wrapText="1"/>
    </xf>
    <xf numFmtId="0" fontId="19" fillId="0" borderId="27" xfId="0" applyFont="1" applyBorder="1" applyAlignment="1">
      <alignment wrapText="1"/>
    </xf>
    <xf numFmtId="0" fontId="20" fillId="0" borderId="27" xfId="0" applyFont="1" applyBorder="1" applyAlignment="1">
      <alignment wrapText="1"/>
    </xf>
    <xf numFmtId="0" fontId="18" fillId="0" borderId="0" xfId="0" applyFont="1" applyAlignment="1">
      <alignment wrapText="1"/>
    </xf>
    <xf numFmtId="0" fontId="6" fillId="0" borderId="3" xfId="0" applyFont="1" applyBorder="1"/>
    <xf numFmtId="14" fontId="12" fillId="0" borderId="0" xfId="0" applyNumberFormat="1" applyFont="1"/>
    <xf numFmtId="0" fontId="0" fillId="0" borderId="4" xfId="0" applyBorder="1"/>
    <xf numFmtId="0" fontId="20" fillId="0" borderId="11" xfId="0" applyFont="1" applyBorder="1" applyAlignment="1">
      <alignment wrapText="1"/>
    </xf>
    <xf numFmtId="0" fontId="20" fillId="0" borderId="26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26" xfId="0" applyFont="1" applyBorder="1" applyAlignment="1">
      <alignment wrapText="1"/>
    </xf>
    <xf numFmtId="0" fontId="19" fillId="0" borderId="29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wrapText="1"/>
    </xf>
    <xf numFmtId="0" fontId="19" fillId="0" borderId="8" xfId="0" applyFont="1" applyBorder="1" applyAlignment="1">
      <alignment wrapText="1"/>
    </xf>
    <xf numFmtId="0" fontId="19" fillId="0" borderId="29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" fillId="0" borderId="0" xfId="0" applyFont="1" applyAlignment="1"/>
    <xf numFmtId="0" fontId="7" fillId="4" borderId="5" xfId="0" applyFont="1" applyFill="1" applyBorder="1" applyAlignment="1"/>
    <xf numFmtId="0" fontId="7" fillId="4" borderId="6" xfId="0" applyFont="1" applyFill="1" applyBorder="1" applyAlignment="1"/>
    <xf numFmtId="0" fontId="7" fillId="4" borderId="7" xfId="0" applyFont="1" applyFill="1" applyBorder="1" applyAlignment="1"/>
    <xf numFmtId="0" fontId="8" fillId="0" borderId="11" xfId="0" applyFont="1" applyBorder="1" applyAlignment="1"/>
    <xf numFmtId="0" fontId="8" fillId="0" borderId="8" xfId="0" applyFont="1" applyBorder="1" applyAlignment="1"/>
    <xf numFmtId="0" fontId="7" fillId="4" borderId="11" xfId="0" applyFont="1" applyFill="1" applyBorder="1" applyAlignment="1"/>
    <xf numFmtId="0" fontId="7" fillId="4" borderId="12" xfId="0" applyFont="1" applyFill="1" applyBorder="1" applyAlignment="1"/>
    <xf numFmtId="0" fontId="8" fillId="0" borderId="12" xfId="0" applyFont="1" applyBorder="1" applyAlignment="1"/>
    <xf numFmtId="0" fontId="10" fillId="6" borderId="13" xfId="0" applyFont="1" applyFill="1" applyBorder="1" applyAlignment="1"/>
    <xf numFmtId="0" fontId="10" fillId="6" borderId="1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2"/>
  <sheetViews>
    <sheetView tabSelected="1" topLeftCell="C6" zoomScale="115" zoomScaleNormal="115" workbookViewId="0">
      <selection activeCell="G42" sqref="G42"/>
    </sheetView>
  </sheetViews>
  <sheetFormatPr defaultColWidth="10.28515625" defaultRowHeight="15"/>
  <cols>
    <col min="1" max="1" width="14.5703125" bestFit="1" customWidth="1"/>
    <col min="2" max="2" width="6.5703125" bestFit="1" customWidth="1"/>
    <col min="3" max="3" width="39" customWidth="1"/>
    <col min="4" max="4" width="19.28515625" customWidth="1"/>
    <col min="5" max="5" width="28" customWidth="1"/>
    <col min="6" max="6" width="24.7109375" customWidth="1"/>
    <col min="7" max="7" width="22.7109375" customWidth="1"/>
    <col min="8" max="8" width="31.5703125" customWidth="1"/>
    <col min="9" max="10" width="16" customWidth="1"/>
    <col min="11" max="12" width="21" customWidth="1"/>
    <col min="13" max="13" width="27.42578125" customWidth="1"/>
    <col min="14" max="14" width="60.85546875" customWidth="1"/>
    <col min="15" max="15" width="10.140625" bestFit="1" customWidth="1"/>
    <col min="16" max="16" width="14.42578125" bestFit="1" customWidth="1"/>
    <col min="17" max="17" width="17.140625" bestFit="1" customWidth="1"/>
    <col min="18" max="18" width="6.28515625" bestFit="1" customWidth="1"/>
    <col min="19" max="19" width="10.140625" bestFit="1" customWidth="1"/>
    <col min="21" max="21" width="63.85546875" customWidth="1"/>
    <col min="22" max="22" width="12.7109375" customWidth="1"/>
    <col min="23" max="23" width="53" customWidth="1"/>
    <col min="24" max="24" width="31" customWidth="1"/>
    <col min="25" max="25" width="32.140625" customWidth="1"/>
    <col min="26" max="26" width="12.85546875" customWidth="1"/>
    <col min="27" max="27" width="30.7109375" customWidth="1"/>
    <col min="28" max="28" width="13.7109375" customWidth="1"/>
    <col min="29" max="29" width="20.5703125" customWidth="1"/>
    <col min="35" max="35" width="18.42578125" customWidth="1"/>
    <col min="36" max="36" width="16.28515625" customWidth="1"/>
    <col min="37" max="37" width="26.140625" customWidth="1"/>
    <col min="38" max="38" width="23.28515625" customWidth="1"/>
    <col min="39" max="39" width="83.5703125" customWidth="1"/>
    <col min="40" max="40" width="5.85546875" customWidth="1"/>
    <col min="41" max="41" width="5.140625" customWidth="1"/>
    <col min="42" max="42" width="42.7109375" customWidth="1"/>
    <col min="43" max="43" width="29" customWidth="1"/>
    <col min="49" max="49" width="21.7109375" customWidth="1"/>
    <col min="50" max="50" width="17.7109375" customWidth="1"/>
    <col min="51" max="51" width="17" customWidth="1"/>
    <col min="52" max="52" width="13.85546875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>
        <v>1</v>
      </c>
      <c r="B2" s="66" t="s">
        <v>16</v>
      </c>
      <c r="C2" s="66"/>
      <c r="D2" s="3"/>
      <c r="E2" s="34">
        <v>46094</v>
      </c>
      <c r="F2" s="34">
        <f>F6</f>
        <v>46133</v>
      </c>
      <c r="G2" s="4"/>
      <c r="H2" s="28">
        <v>100</v>
      </c>
      <c r="I2" s="28">
        <v>100</v>
      </c>
      <c r="J2" s="3">
        <f>I2-H2</f>
        <v>0</v>
      </c>
      <c r="K2" s="11">
        <f>SUM(K3:K6)</f>
        <v>406</v>
      </c>
      <c r="L2" s="11">
        <f>K2/24</f>
        <v>16.916666666666668</v>
      </c>
      <c r="M2" s="11">
        <f>K2/10</f>
        <v>40.6</v>
      </c>
      <c r="N2" s="3"/>
      <c r="O2" s="3">
        <v>0</v>
      </c>
      <c r="P2" s="3">
        <v>0</v>
      </c>
    </row>
    <row r="3" spans="1:16">
      <c r="A3" s="5" t="s">
        <v>17</v>
      </c>
      <c r="B3" s="5"/>
      <c r="C3" s="5" t="s">
        <v>18</v>
      </c>
      <c r="D3" s="5" t="s">
        <v>19</v>
      </c>
      <c r="E3" s="33">
        <v>46094</v>
      </c>
      <c r="F3" s="33">
        <f>E3+9</f>
        <v>46103</v>
      </c>
      <c r="G3" s="6" t="s">
        <v>20</v>
      </c>
      <c r="H3" s="5">
        <v>100</v>
      </c>
      <c r="I3" s="5">
        <v>100</v>
      </c>
      <c r="J3" s="3">
        <f>I3-H3</f>
        <v>0</v>
      </c>
      <c r="K3">
        <v>100</v>
      </c>
      <c r="L3">
        <f>K3/24</f>
        <v>4.166666666666667</v>
      </c>
      <c r="M3" s="11">
        <f>K3/10</f>
        <v>10</v>
      </c>
      <c r="N3" s="5" t="s">
        <v>21</v>
      </c>
      <c r="O3" s="5">
        <v>0</v>
      </c>
      <c r="P3" s="5">
        <v>0</v>
      </c>
    </row>
    <row r="4" spans="1:16">
      <c r="A4" s="5" t="s">
        <v>22</v>
      </c>
      <c r="B4" s="5"/>
      <c r="C4" s="5" t="s">
        <v>23</v>
      </c>
      <c r="D4" s="5" t="s">
        <v>19</v>
      </c>
      <c r="E4" s="33">
        <f>F3+1</f>
        <v>46104</v>
      </c>
      <c r="F4" s="33">
        <f>E4+9</f>
        <v>46113</v>
      </c>
      <c r="G4" s="6" t="str">
        <f>A3</f>
        <v>1.1</v>
      </c>
      <c r="H4" s="5">
        <v>100</v>
      </c>
      <c r="I4" s="5">
        <v>100</v>
      </c>
      <c r="J4" s="3">
        <f>I4-H4</f>
        <v>0</v>
      </c>
      <c r="K4">
        <v>100</v>
      </c>
      <c r="L4">
        <f>K4/24</f>
        <v>4.166666666666667</v>
      </c>
      <c r="M4" s="11">
        <f>K4/10</f>
        <v>10</v>
      </c>
      <c r="N4" s="5" t="s">
        <v>24</v>
      </c>
      <c r="O4" s="5">
        <v>0</v>
      </c>
      <c r="P4" s="5">
        <v>0</v>
      </c>
    </row>
    <row r="5" spans="1:16">
      <c r="A5" s="5" t="s">
        <v>25</v>
      </c>
      <c r="B5" s="5"/>
      <c r="C5" s="5" t="s">
        <v>26</v>
      </c>
      <c r="D5" s="5" t="s">
        <v>19</v>
      </c>
      <c r="E5" s="33">
        <f>F4+1</f>
        <v>46114</v>
      </c>
      <c r="F5" s="33">
        <f>E5+9</f>
        <v>46123</v>
      </c>
      <c r="G5" s="6" t="str">
        <f>A3</f>
        <v>1.1</v>
      </c>
      <c r="H5" s="5">
        <v>100</v>
      </c>
      <c r="I5" s="5">
        <v>100</v>
      </c>
      <c r="J5" s="3">
        <f>I5-H5</f>
        <v>0</v>
      </c>
      <c r="K5">
        <v>100</v>
      </c>
      <c r="L5">
        <f>K5/24</f>
        <v>4.166666666666667</v>
      </c>
      <c r="M5" s="11">
        <f>K5/10</f>
        <v>10</v>
      </c>
      <c r="N5" s="5" t="s">
        <v>27</v>
      </c>
      <c r="O5" s="5">
        <v>0</v>
      </c>
      <c r="P5" s="5">
        <v>0</v>
      </c>
    </row>
    <row r="6" spans="1:16">
      <c r="A6" s="5" t="s">
        <v>28</v>
      </c>
      <c r="B6" s="5"/>
      <c r="C6" s="5" t="s">
        <v>29</v>
      </c>
      <c r="D6" s="5" t="s">
        <v>19</v>
      </c>
      <c r="E6" s="33">
        <f>F5+1</f>
        <v>46124</v>
      </c>
      <c r="F6" s="33">
        <f>E6+9</f>
        <v>46133</v>
      </c>
      <c r="G6" s="30" t="str">
        <f>CONCATENATE(A4,A47,A5)</f>
        <v>1.2, 1.3</v>
      </c>
      <c r="H6" s="5">
        <v>100</v>
      </c>
      <c r="I6" s="5">
        <v>100</v>
      </c>
      <c r="J6" s="3">
        <f>I6-H6</f>
        <v>0</v>
      </c>
      <c r="K6">
        <v>106</v>
      </c>
      <c r="L6">
        <f>K6/24</f>
        <v>4.416666666666667</v>
      </c>
      <c r="M6" s="11">
        <f>K6/10</f>
        <v>10.6</v>
      </c>
      <c r="N6" s="5" t="s">
        <v>30</v>
      </c>
      <c r="O6" s="5">
        <v>0</v>
      </c>
      <c r="P6" s="5">
        <v>0</v>
      </c>
    </row>
    <row r="7" spans="1:16">
      <c r="A7" s="28" t="s">
        <v>31</v>
      </c>
      <c r="B7" s="28" t="s">
        <v>32</v>
      </c>
      <c r="C7" s="28" t="s">
        <v>33</v>
      </c>
      <c r="D7" s="28" t="s">
        <v>19</v>
      </c>
      <c r="E7" s="34">
        <f>F6</f>
        <v>46133</v>
      </c>
      <c r="F7" s="34">
        <f>F6</f>
        <v>46133</v>
      </c>
      <c r="G7" s="4" t="s">
        <v>28</v>
      </c>
      <c r="H7" s="28"/>
      <c r="I7" s="28"/>
      <c r="J7" s="3"/>
      <c r="K7" s="11">
        <v>0</v>
      </c>
      <c r="L7" s="11">
        <v>0</v>
      </c>
      <c r="M7" s="11">
        <v>0</v>
      </c>
      <c r="N7" s="28"/>
      <c r="O7" s="28"/>
      <c r="P7" s="28"/>
    </row>
    <row r="8" spans="1:16">
      <c r="A8" s="3">
        <v>2</v>
      </c>
      <c r="B8" s="66" t="s">
        <v>34</v>
      </c>
      <c r="C8" s="66"/>
      <c r="D8" s="3"/>
      <c r="E8" s="34">
        <f>F6+1</f>
        <v>46134</v>
      </c>
      <c r="F8" s="34">
        <f>F12</f>
        <v>46165</v>
      </c>
      <c r="G8" s="4"/>
      <c r="H8" s="28">
        <v>100</v>
      </c>
      <c r="I8" s="28">
        <v>100</v>
      </c>
      <c r="J8" s="3">
        <f>I8-H8</f>
        <v>0</v>
      </c>
      <c r="K8" s="11">
        <f>SUM(K9:K12)</f>
        <v>609</v>
      </c>
      <c r="L8" s="11">
        <f>K8/24</f>
        <v>25.375</v>
      </c>
      <c r="M8" s="11">
        <f>K8/10</f>
        <v>60.9</v>
      </c>
      <c r="N8" s="3"/>
      <c r="O8" s="3">
        <v>0</v>
      </c>
      <c r="P8" s="3">
        <v>0</v>
      </c>
    </row>
    <row r="9" spans="1:16">
      <c r="A9" s="5" t="s">
        <v>35</v>
      </c>
      <c r="B9" s="5"/>
      <c r="C9" s="5" t="s">
        <v>36</v>
      </c>
      <c r="D9" s="5" t="s">
        <v>37</v>
      </c>
      <c r="E9" s="33">
        <f>E8</f>
        <v>46134</v>
      </c>
      <c r="F9" s="33">
        <f>E9+7</f>
        <v>46141</v>
      </c>
      <c r="G9" s="6" t="str">
        <f>A6</f>
        <v>1.4</v>
      </c>
      <c r="H9" s="5">
        <v>100</v>
      </c>
      <c r="I9" s="5">
        <v>100</v>
      </c>
      <c r="J9" s="3">
        <f>I9-H9</f>
        <v>0</v>
      </c>
      <c r="K9">
        <v>150</v>
      </c>
      <c r="L9">
        <f>K9/24</f>
        <v>6.25</v>
      </c>
      <c r="M9" s="11">
        <f>K9/10</f>
        <v>15</v>
      </c>
      <c r="N9" s="5" t="s">
        <v>38</v>
      </c>
      <c r="O9" s="5">
        <v>0</v>
      </c>
      <c r="P9" s="5">
        <v>0</v>
      </c>
    </row>
    <row r="10" spans="1:16">
      <c r="A10" s="5" t="s">
        <v>39</v>
      </c>
      <c r="B10" s="5"/>
      <c r="C10" s="5" t="s">
        <v>40</v>
      </c>
      <c r="D10" s="5" t="s">
        <v>37</v>
      </c>
      <c r="E10" s="33">
        <f>F9+1</f>
        <v>46142</v>
      </c>
      <c r="F10" s="33">
        <f>E10+7</f>
        <v>46149</v>
      </c>
      <c r="G10" s="6" t="str">
        <f>A6</f>
        <v>1.4</v>
      </c>
      <c r="H10" s="5">
        <v>100</v>
      </c>
      <c r="I10" s="5">
        <v>100</v>
      </c>
      <c r="J10" s="3">
        <f>I10-H10</f>
        <v>0</v>
      </c>
      <c r="K10">
        <v>160</v>
      </c>
      <c r="L10">
        <f>K10/24</f>
        <v>6.666666666666667</v>
      </c>
      <c r="M10" s="11">
        <f>K10/10</f>
        <v>16</v>
      </c>
      <c r="N10" s="5" t="s">
        <v>41</v>
      </c>
      <c r="O10" s="5">
        <v>0</v>
      </c>
      <c r="P10" s="5">
        <v>0</v>
      </c>
    </row>
    <row r="11" spans="1:16">
      <c r="A11" s="5" t="s">
        <v>42</v>
      </c>
      <c r="B11" s="5"/>
      <c r="C11" s="5" t="s">
        <v>43</v>
      </c>
      <c r="D11" s="5" t="s">
        <v>37</v>
      </c>
      <c r="E11" s="33">
        <f>F10+1</f>
        <v>46150</v>
      </c>
      <c r="F11" s="33">
        <f>E11+7</f>
        <v>46157</v>
      </c>
      <c r="G11" s="6" t="str">
        <f>A6</f>
        <v>1.4</v>
      </c>
      <c r="H11" s="5">
        <v>0</v>
      </c>
      <c r="I11" s="5">
        <v>100</v>
      </c>
      <c r="J11" s="3">
        <f>I11-H11</f>
        <v>100</v>
      </c>
      <c r="K11">
        <v>150</v>
      </c>
      <c r="L11">
        <f>K11/24</f>
        <v>6.25</v>
      </c>
      <c r="M11" s="11">
        <f>K11/10</f>
        <v>15</v>
      </c>
      <c r="N11" s="5" t="s">
        <v>44</v>
      </c>
      <c r="O11" s="5">
        <v>0</v>
      </c>
      <c r="P11" s="5">
        <v>0</v>
      </c>
    </row>
    <row r="12" spans="1:16">
      <c r="A12" s="5" t="s">
        <v>45</v>
      </c>
      <c r="B12" s="5"/>
      <c r="C12" s="5" t="s">
        <v>46</v>
      </c>
      <c r="D12" s="5" t="s">
        <v>37</v>
      </c>
      <c r="E12" s="33">
        <f>F11+1</f>
        <v>46158</v>
      </c>
      <c r="F12" s="33">
        <f>E12+7</f>
        <v>46165</v>
      </c>
      <c r="G12" s="30" t="str">
        <f>CONCATENATE(A9,A47,A10,A47,A11)</f>
        <v>2.1, 2.2, 2.3</v>
      </c>
      <c r="H12" s="5">
        <v>0</v>
      </c>
      <c r="I12" s="5">
        <v>100</v>
      </c>
      <c r="J12" s="3">
        <f>I12-H12</f>
        <v>100</v>
      </c>
      <c r="K12">
        <v>149</v>
      </c>
      <c r="L12">
        <f>K12/24</f>
        <v>6.208333333333333</v>
      </c>
      <c r="M12" s="11">
        <f>K12/10</f>
        <v>14.9</v>
      </c>
      <c r="N12" s="5" t="s">
        <v>47</v>
      </c>
      <c r="O12" s="5">
        <v>0</v>
      </c>
      <c r="P12" s="5">
        <v>0</v>
      </c>
    </row>
    <row r="13" spans="1:16">
      <c r="A13" s="28" t="s">
        <v>48</v>
      </c>
      <c r="B13" s="28" t="s">
        <v>32</v>
      </c>
      <c r="C13" s="28" t="s">
        <v>49</v>
      </c>
      <c r="D13" s="28" t="s">
        <v>37</v>
      </c>
      <c r="E13" s="34">
        <f>F12</f>
        <v>46165</v>
      </c>
      <c r="F13" s="34">
        <f>E13</f>
        <v>46165</v>
      </c>
      <c r="G13" s="4" t="s">
        <v>45</v>
      </c>
      <c r="H13" s="28"/>
      <c r="I13" s="28"/>
      <c r="J13" s="3"/>
      <c r="K13" s="11">
        <v>0</v>
      </c>
      <c r="L13" s="11">
        <v>0</v>
      </c>
      <c r="M13" s="11">
        <v>0</v>
      </c>
      <c r="N13" s="28"/>
      <c r="O13" s="28"/>
      <c r="P13" s="28"/>
    </row>
    <row r="14" spans="1:16">
      <c r="A14" s="3">
        <v>3</v>
      </c>
      <c r="B14" s="66" t="s">
        <v>50</v>
      </c>
      <c r="C14" s="66"/>
      <c r="D14" s="3"/>
      <c r="E14" s="34">
        <f>F12+1</f>
        <v>46166</v>
      </c>
      <c r="F14" s="34">
        <f>F18</f>
        <v>46205</v>
      </c>
      <c r="G14" s="4"/>
      <c r="H14" s="3">
        <f>AVERAGE(H15:H18)</f>
        <v>0</v>
      </c>
      <c r="I14" s="3">
        <f>AVERAGE(I15:I18)</f>
        <v>0</v>
      </c>
      <c r="J14" s="3">
        <f>I14-H14</f>
        <v>0</v>
      </c>
      <c r="K14" s="11">
        <f>SUM(K15:K18)</f>
        <v>812</v>
      </c>
      <c r="L14" s="11">
        <f>K14/24</f>
        <v>33.833333333333336</v>
      </c>
      <c r="M14" s="11">
        <f>K14/10</f>
        <v>81.2</v>
      </c>
      <c r="N14" s="3"/>
      <c r="O14" s="3">
        <v>0</v>
      </c>
      <c r="P14" s="3">
        <v>0</v>
      </c>
    </row>
    <row r="15" spans="1:16">
      <c r="A15" s="5" t="s">
        <v>51</v>
      </c>
      <c r="B15" s="5"/>
      <c r="C15" s="5" t="s">
        <v>52</v>
      </c>
      <c r="D15" s="5" t="s">
        <v>53</v>
      </c>
      <c r="E15" s="33">
        <f>E14</f>
        <v>46166</v>
      </c>
      <c r="F15" s="33">
        <f>E15+9</f>
        <v>46175</v>
      </c>
      <c r="G15" s="6" t="str">
        <f>A12</f>
        <v>2.4</v>
      </c>
      <c r="H15" s="5">
        <v>0</v>
      </c>
      <c r="I15" s="5">
        <v>0</v>
      </c>
      <c r="J15" s="3">
        <f>I15-H15</f>
        <v>0</v>
      </c>
      <c r="K15">
        <v>200</v>
      </c>
      <c r="L15">
        <f>K15/24</f>
        <v>8.3333333333333339</v>
      </c>
      <c r="M15" s="11">
        <f>K15/10</f>
        <v>20</v>
      </c>
      <c r="N15" s="5" t="s">
        <v>54</v>
      </c>
      <c r="O15" s="5">
        <v>0</v>
      </c>
      <c r="P15" s="5">
        <v>0</v>
      </c>
    </row>
    <row r="16" spans="1:16">
      <c r="A16" s="5" t="s">
        <v>55</v>
      </c>
      <c r="B16" s="5"/>
      <c r="C16" s="5" t="s">
        <v>56</v>
      </c>
      <c r="D16" s="5" t="s">
        <v>53</v>
      </c>
      <c r="E16" s="33">
        <f>F15+1</f>
        <v>46176</v>
      </c>
      <c r="F16" s="33">
        <f>E16+9</f>
        <v>46185</v>
      </c>
      <c r="G16" s="6" t="str">
        <f>A12</f>
        <v>2.4</v>
      </c>
      <c r="H16" s="5">
        <v>0</v>
      </c>
      <c r="I16" s="5">
        <v>0</v>
      </c>
      <c r="J16" s="3">
        <f>I16-H16</f>
        <v>0</v>
      </c>
      <c r="K16">
        <v>200</v>
      </c>
      <c r="L16">
        <f>K16/24</f>
        <v>8.3333333333333339</v>
      </c>
      <c r="M16" s="11">
        <f>K16/10</f>
        <v>20</v>
      </c>
      <c r="N16" s="5" t="s">
        <v>57</v>
      </c>
      <c r="O16" s="5">
        <v>0</v>
      </c>
      <c r="P16" s="5">
        <v>0</v>
      </c>
    </row>
    <row r="17" spans="1:38" ht="15" customHeight="1">
      <c r="A17" s="5" t="s">
        <v>58</v>
      </c>
      <c r="B17" s="5"/>
      <c r="C17" s="5" t="s">
        <v>59</v>
      </c>
      <c r="D17" s="5" t="s">
        <v>53</v>
      </c>
      <c r="E17" s="33">
        <f>F16+1</f>
        <v>46186</v>
      </c>
      <c r="F17" s="33">
        <f>E17+9</f>
        <v>46195</v>
      </c>
      <c r="G17" s="6" t="str">
        <f>A12</f>
        <v>2.4</v>
      </c>
      <c r="H17" s="5">
        <v>0</v>
      </c>
      <c r="I17" s="5">
        <v>0</v>
      </c>
      <c r="J17" s="3">
        <f>I17-H17</f>
        <v>0</v>
      </c>
      <c r="K17">
        <v>200</v>
      </c>
      <c r="L17">
        <f>K17/24</f>
        <v>8.3333333333333339</v>
      </c>
      <c r="M17" s="11">
        <f>K17/10</f>
        <v>20</v>
      </c>
      <c r="N17" s="5" t="s">
        <v>60</v>
      </c>
      <c r="O17" s="5">
        <v>0</v>
      </c>
      <c r="P17" s="5">
        <v>0</v>
      </c>
    </row>
    <row r="18" spans="1:38" ht="15" customHeight="1">
      <c r="A18" s="5" t="s">
        <v>61</v>
      </c>
      <c r="B18" s="5"/>
      <c r="C18" s="5" t="s">
        <v>62</v>
      </c>
      <c r="D18" s="5" t="s">
        <v>53</v>
      </c>
      <c r="E18" s="33">
        <f>F17+1</f>
        <v>46196</v>
      </c>
      <c r="F18" s="33">
        <f>E18+9</f>
        <v>46205</v>
      </c>
      <c r="G18" s="30" t="str">
        <f>CONCATENATE(A15,A47,A16,A47,A17)</f>
        <v>3.1, 3.2, 3.3</v>
      </c>
      <c r="H18" s="5">
        <v>0</v>
      </c>
      <c r="I18" s="5">
        <v>0</v>
      </c>
      <c r="J18" s="3">
        <f>I18-H18</f>
        <v>0</v>
      </c>
      <c r="K18">
        <v>212</v>
      </c>
      <c r="L18">
        <f>K18/24</f>
        <v>8.8333333333333339</v>
      </c>
      <c r="M18" s="11">
        <f>K18/10</f>
        <v>21.2</v>
      </c>
      <c r="N18" s="5" t="s">
        <v>63</v>
      </c>
      <c r="O18" s="5">
        <v>0</v>
      </c>
      <c r="P18" s="5">
        <v>0</v>
      </c>
    </row>
    <row r="19" spans="1:38" ht="15" customHeight="1">
      <c r="A19" s="28" t="s">
        <v>64</v>
      </c>
      <c r="B19" s="28" t="s">
        <v>32</v>
      </c>
      <c r="C19" s="28" t="s">
        <v>65</v>
      </c>
      <c r="D19" s="28" t="s">
        <v>53</v>
      </c>
      <c r="E19" s="34">
        <f>F18</f>
        <v>46205</v>
      </c>
      <c r="F19" s="34">
        <f>E19</f>
        <v>46205</v>
      </c>
      <c r="G19" s="4" t="s">
        <v>61</v>
      </c>
      <c r="H19" s="28"/>
      <c r="I19" s="28"/>
      <c r="J19" s="3"/>
      <c r="K19" s="11">
        <v>0</v>
      </c>
      <c r="L19" s="11">
        <v>0</v>
      </c>
      <c r="M19" s="11">
        <v>0</v>
      </c>
      <c r="N19" s="28"/>
      <c r="O19" s="28"/>
      <c r="P19" s="28"/>
    </row>
    <row r="20" spans="1:38" ht="18.75" customHeight="1">
      <c r="A20" s="3">
        <v>4</v>
      </c>
      <c r="B20" s="66" t="s">
        <v>66</v>
      </c>
      <c r="C20" s="66"/>
      <c r="D20" s="3"/>
      <c r="E20" s="34">
        <f>F18+1</f>
        <v>46206</v>
      </c>
      <c r="F20" s="34">
        <f>F25</f>
        <v>46269</v>
      </c>
      <c r="G20" s="4"/>
      <c r="H20" s="3">
        <f>AVERAGE(H21:H25)</f>
        <v>0</v>
      </c>
      <c r="I20" s="3">
        <f>AVERAGE(I21:I25)</f>
        <v>0</v>
      </c>
      <c r="J20" s="3">
        <f>I20-H20</f>
        <v>0</v>
      </c>
      <c r="K20" s="11">
        <f>SUM(K21:K25)</f>
        <v>1219</v>
      </c>
      <c r="L20" s="11">
        <f>K20/24</f>
        <v>50.791666666666664</v>
      </c>
      <c r="M20" s="11">
        <f>K20/10</f>
        <v>121.9</v>
      </c>
      <c r="N20" s="3"/>
      <c r="O20" s="3">
        <v>0</v>
      </c>
      <c r="P20" s="3">
        <v>0</v>
      </c>
      <c r="AK20" s="44"/>
      <c r="AL20" s="44"/>
    </row>
    <row r="21" spans="1:38" ht="16.5" customHeight="1">
      <c r="A21" s="5" t="s">
        <v>67</v>
      </c>
      <c r="B21" s="5"/>
      <c r="C21" s="5" t="s">
        <v>68</v>
      </c>
      <c r="D21" s="5" t="s">
        <v>53</v>
      </c>
      <c r="E21" s="33">
        <f>E20</f>
        <v>46206</v>
      </c>
      <c r="F21" s="33">
        <f>E21+7</f>
        <v>46213</v>
      </c>
      <c r="G21" s="6" t="str">
        <f>A18</f>
        <v>3.4</v>
      </c>
      <c r="H21" s="5">
        <v>0</v>
      </c>
      <c r="I21" s="5">
        <v>0</v>
      </c>
      <c r="J21" s="3">
        <f>I21-H21</f>
        <v>0</v>
      </c>
      <c r="K21">
        <v>150</v>
      </c>
      <c r="L21">
        <f>K21/24</f>
        <v>6.25</v>
      </c>
      <c r="M21" s="11">
        <f>K21/10</f>
        <v>15</v>
      </c>
      <c r="N21" s="5" t="s">
        <v>69</v>
      </c>
      <c r="O21" s="5">
        <v>0</v>
      </c>
      <c r="P21" s="5">
        <v>0</v>
      </c>
      <c r="AJ21" s="44"/>
      <c r="AK21" s="44"/>
      <c r="AL21" s="44"/>
    </row>
    <row r="22" spans="1:38" ht="20.25" customHeight="1">
      <c r="A22" s="5" t="s">
        <v>70</v>
      </c>
      <c r="B22" s="5"/>
      <c r="C22" s="5" t="s">
        <v>71</v>
      </c>
      <c r="D22" s="5" t="s">
        <v>53</v>
      </c>
      <c r="E22" s="33">
        <f>F21+1</f>
        <v>46214</v>
      </c>
      <c r="F22" s="33">
        <f>E22+12</f>
        <v>46226</v>
      </c>
      <c r="G22" s="30" t="str">
        <f>CONCATENATE(A15,A47,A21)</f>
        <v>3.1, 4.1</v>
      </c>
      <c r="H22" s="5">
        <v>0</v>
      </c>
      <c r="I22" s="5">
        <v>0</v>
      </c>
      <c r="J22" s="3">
        <f>I22-H22</f>
        <v>0</v>
      </c>
      <c r="K22">
        <v>250</v>
      </c>
      <c r="L22">
        <f>K22/24</f>
        <v>10.416666666666666</v>
      </c>
      <c r="M22" s="11">
        <f>K22/10</f>
        <v>25</v>
      </c>
      <c r="N22" s="5" t="s">
        <v>72</v>
      </c>
      <c r="O22" s="5">
        <v>0</v>
      </c>
      <c r="P22" s="5">
        <v>0</v>
      </c>
      <c r="AJ22" s="44"/>
      <c r="AK22" s="44"/>
      <c r="AL22" s="44"/>
    </row>
    <row r="23" spans="1:38">
      <c r="A23" s="5" t="s">
        <v>73</v>
      </c>
      <c r="B23" s="5"/>
      <c r="C23" s="5" t="s">
        <v>74</v>
      </c>
      <c r="D23" s="5" t="s">
        <v>53</v>
      </c>
      <c r="E23" s="33">
        <f>F22+1</f>
        <v>46227</v>
      </c>
      <c r="F23" s="33">
        <f>E23+15</f>
        <v>46242</v>
      </c>
      <c r="G23" s="30" t="str">
        <f>CONCATENATE(A17,A47,A21)</f>
        <v>3.3, 4.1</v>
      </c>
      <c r="H23" s="5">
        <v>0</v>
      </c>
      <c r="I23" s="5">
        <v>0</v>
      </c>
      <c r="J23" s="3">
        <f>I23-H23</f>
        <v>0</v>
      </c>
      <c r="K23">
        <v>300</v>
      </c>
      <c r="L23">
        <f>K23/24</f>
        <v>12.5</v>
      </c>
      <c r="M23" s="11">
        <f>K23/10</f>
        <v>30</v>
      </c>
      <c r="N23" s="5" t="s">
        <v>75</v>
      </c>
      <c r="O23" s="5">
        <v>0</v>
      </c>
      <c r="P23" s="5">
        <v>0</v>
      </c>
    </row>
    <row r="24" spans="1:38">
      <c r="A24" s="5" t="s">
        <v>76</v>
      </c>
      <c r="B24" s="5"/>
      <c r="C24" s="5" t="s">
        <v>77</v>
      </c>
      <c r="D24" s="5" t="s">
        <v>53</v>
      </c>
      <c r="E24" s="33">
        <f>F23+1</f>
        <v>46243</v>
      </c>
      <c r="F24" s="33">
        <f>E24+17</f>
        <v>46260</v>
      </c>
      <c r="G24" s="6" t="str">
        <f>CONCATENATE(A16,A47,A21)</f>
        <v>3.2, 4.1</v>
      </c>
      <c r="H24" s="5">
        <v>0</v>
      </c>
      <c r="I24" s="5">
        <v>0</v>
      </c>
      <c r="J24" s="3">
        <f>I24-H24</f>
        <v>0</v>
      </c>
      <c r="K24">
        <v>350</v>
      </c>
      <c r="L24">
        <f>K24/24</f>
        <v>14.583333333333334</v>
      </c>
      <c r="M24" s="11">
        <f>K24/10</f>
        <v>35</v>
      </c>
      <c r="N24" s="5" t="s">
        <v>78</v>
      </c>
      <c r="O24" s="5">
        <v>0</v>
      </c>
      <c r="P24" s="5">
        <v>0</v>
      </c>
    </row>
    <row r="25" spans="1:38">
      <c r="A25" s="5" t="s">
        <v>79</v>
      </c>
      <c r="B25" s="5"/>
      <c r="C25" s="5" t="s">
        <v>80</v>
      </c>
      <c r="D25" s="5" t="s">
        <v>53</v>
      </c>
      <c r="E25" s="33">
        <f>F24+1</f>
        <v>46261</v>
      </c>
      <c r="F25" s="33">
        <f>E25+8</f>
        <v>46269</v>
      </c>
      <c r="G25" s="30" t="str">
        <f>CONCATENATE(A22,A47,A23,A47,A24)</f>
        <v>4.2, 4.3, 4.4</v>
      </c>
      <c r="H25" s="5">
        <v>0</v>
      </c>
      <c r="I25" s="5">
        <v>0</v>
      </c>
      <c r="J25" s="3">
        <f>I25-H25</f>
        <v>0</v>
      </c>
      <c r="K25">
        <v>169</v>
      </c>
      <c r="L25">
        <f>K25/24</f>
        <v>7.041666666666667</v>
      </c>
      <c r="M25" s="11">
        <f>K25/10</f>
        <v>16.899999999999999</v>
      </c>
      <c r="N25" s="5" t="s">
        <v>81</v>
      </c>
      <c r="O25" s="5">
        <v>0</v>
      </c>
      <c r="P25" s="5">
        <v>0</v>
      </c>
    </row>
    <row r="26" spans="1:38">
      <c r="A26" s="28" t="s">
        <v>82</v>
      </c>
      <c r="B26" s="28" t="s">
        <v>32</v>
      </c>
      <c r="C26" s="28" t="s">
        <v>83</v>
      </c>
      <c r="D26" s="28" t="str">
        <f>D25</f>
        <v>Franko, Elizabeth</v>
      </c>
      <c r="E26" s="34">
        <f>F25</f>
        <v>46269</v>
      </c>
      <c r="F26" s="34">
        <f>E26</f>
        <v>46269</v>
      </c>
      <c r="G26" s="4" t="s">
        <v>79</v>
      </c>
      <c r="H26" s="28"/>
      <c r="I26" s="28"/>
      <c r="J26" s="3"/>
      <c r="K26" s="11">
        <v>0</v>
      </c>
      <c r="L26" s="11">
        <v>0</v>
      </c>
      <c r="M26" s="11">
        <v>0</v>
      </c>
      <c r="N26" s="28"/>
      <c r="O26" s="28"/>
      <c r="P26" s="28"/>
    </row>
    <row r="27" spans="1:38">
      <c r="A27" s="3">
        <v>5</v>
      </c>
      <c r="B27" s="66" t="s">
        <v>84</v>
      </c>
      <c r="C27" s="66"/>
      <c r="D27" s="3"/>
      <c r="E27" s="34">
        <f>F25+1</f>
        <v>46270</v>
      </c>
      <c r="F27" s="34">
        <f>F34</f>
        <v>46330</v>
      </c>
      <c r="G27" s="4"/>
      <c r="H27" s="3">
        <f>AVERAGE(H28:H34)</f>
        <v>0</v>
      </c>
      <c r="I27" s="3">
        <f>AVERAGE(I28:I34)</f>
        <v>0</v>
      </c>
      <c r="J27" s="3">
        <f>I27-H27</f>
        <v>0</v>
      </c>
      <c r="K27" s="11">
        <f>SUM(K28:K34)</f>
        <v>609</v>
      </c>
      <c r="L27" s="11">
        <f>K27/24</f>
        <v>25.375</v>
      </c>
      <c r="M27" s="11">
        <f>K27/10</f>
        <v>60.9</v>
      </c>
      <c r="N27" s="3"/>
      <c r="O27" s="3">
        <v>0</v>
      </c>
      <c r="P27" s="3">
        <v>0</v>
      </c>
    </row>
    <row r="28" spans="1:38">
      <c r="A28" s="5" t="s">
        <v>85</v>
      </c>
      <c r="B28" s="5"/>
      <c r="C28" s="5" t="s">
        <v>86</v>
      </c>
      <c r="D28" s="5" t="s">
        <v>87</v>
      </c>
      <c r="E28" s="33">
        <f>E27</f>
        <v>46270</v>
      </c>
      <c r="F28" s="33">
        <f>E28+8</f>
        <v>46278</v>
      </c>
      <c r="G28" s="6" t="str">
        <f>CONCATENATE(A22,A47,A23,A47,A24)</f>
        <v>4.2, 4.3, 4.4</v>
      </c>
      <c r="H28" s="5">
        <v>0</v>
      </c>
      <c r="I28" s="5">
        <v>0</v>
      </c>
      <c r="J28" s="3">
        <f>I28-H28</f>
        <v>0</v>
      </c>
      <c r="K28">
        <v>90</v>
      </c>
      <c r="L28">
        <f>K28/24</f>
        <v>3.75</v>
      </c>
      <c r="M28" s="11">
        <f>K28/10</f>
        <v>9</v>
      </c>
      <c r="N28" s="5" t="s">
        <v>88</v>
      </c>
      <c r="O28" s="5">
        <v>0</v>
      </c>
      <c r="P28" s="5">
        <v>0</v>
      </c>
    </row>
    <row r="29" spans="1:38">
      <c r="A29" s="5" t="s">
        <v>89</v>
      </c>
      <c r="B29" s="5"/>
      <c r="C29" s="5" t="s">
        <v>90</v>
      </c>
      <c r="D29" s="5" t="s">
        <v>91</v>
      </c>
      <c r="E29" s="33">
        <f>F28+1</f>
        <v>46279</v>
      </c>
      <c r="F29" s="33">
        <f>E29+8</f>
        <v>46287</v>
      </c>
      <c r="G29" s="6" t="str">
        <f>A25</f>
        <v>4.5</v>
      </c>
      <c r="H29" s="5">
        <v>0</v>
      </c>
      <c r="I29" s="5">
        <v>0</v>
      </c>
      <c r="J29" s="3">
        <f>I29-H29</f>
        <v>0</v>
      </c>
      <c r="K29">
        <v>90</v>
      </c>
      <c r="L29">
        <f>K29/24</f>
        <v>3.75</v>
      </c>
      <c r="M29" s="11">
        <f>K29/10</f>
        <v>9</v>
      </c>
      <c r="N29" s="5" t="s">
        <v>92</v>
      </c>
      <c r="O29" s="5">
        <v>0</v>
      </c>
      <c r="P29" s="5">
        <v>0</v>
      </c>
    </row>
    <row r="30" spans="1:38">
      <c r="A30" s="5" t="s">
        <v>93</v>
      </c>
      <c r="B30" s="5"/>
      <c r="C30" s="5" t="s">
        <v>94</v>
      </c>
      <c r="D30" s="5" t="s">
        <v>91</v>
      </c>
      <c r="E30" s="33">
        <f>F29+1</f>
        <v>46288</v>
      </c>
      <c r="F30" s="33">
        <f>E30+9</f>
        <v>46297</v>
      </c>
      <c r="G30" s="6" t="str">
        <f>A25</f>
        <v>4.5</v>
      </c>
      <c r="H30" s="5">
        <v>0</v>
      </c>
      <c r="I30" s="5">
        <v>0</v>
      </c>
      <c r="J30" s="3">
        <f>I30-H30</f>
        <v>0</v>
      </c>
      <c r="K30">
        <v>100</v>
      </c>
      <c r="L30">
        <f>K30/24</f>
        <v>4.166666666666667</v>
      </c>
      <c r="M30" s="11">
        <f>K30/10</f>
        <v>10</v>
      </c>
      <c r="N30" s="5" t="s">
        <v>95</v>
      </c>
      <c r="O30" s="5">
        <v>0</v>
      </c>
      <c r="P30" s="5">
        <v>0</v>
      </c>
    </row>
    <row r="31" spans="1:38">
      <c r="A31" s="5" t="s">
        <v>96</v>
      </c>
      <c r="B31" s="5"/>
      <c r="C31" s="5" t="s">
        <v>97</v>
      </c>
      <c r="D31" s="5" t="s">
        <v>91</v>
      </c>
      <c r="E31" s="33">
        <f>F30+1</f>
        <v>46298</v>
      </c>
      <c r="F31" s="33">
        <f>E31+8</f>
        <v>46306</v>
      </c>
      <c r="G31" s="30" t="str">
        <f>CONCATENATE(A29,A47,A30)</f>
        <v>5.2, 5.3</v>
      </c>
      <c r="H31" s="5">
        <v>0</v>
      </c>
      <c r="I31" s="5">
        <v>0</v>
      </c>
      <c r="J31" s="3">
        <f>I31-H31</f>
        <v>0</v>
      </c>
      <c r="K31">
        <v>90</v>
      </c>
      <c r="L31">
        <f>K31/24</f>
        <v>3.75</v>
      </c>
      <c r="M31" s="11">
        <f>K31/10</f>
        <v>9</v>
      </c>
      <c r="N31" s="5" t="s">
        <v>98</v>
      </c>
      <c r="O31" s="5">
        <v>0</v>
      </c>
      <c r="P31" s="5">
        <v>0</v>
      </c>
    </row>
    <row r="32" spans="1:38">
      <c r="A32" s="5" t="s">
        <v>99</v>
      </c>
      <c r="B32" s="5"/>
      <c r="C32" s="5" t="s">
        <v>100</v>
      </c>
      <c r="D32" s="5" t="s">
        <v>91</v>
      </c>
      <c r="E32" s="33">
        <f>F31+1</f>
        <v>46307</v>
      </c>
      <c r="F32" s="33">
        <f>E32+8</f>
        <v>46315</v>
      </c>
      <c r="G32" s="6" t="str">
        <f>A31</f>
        <v>5.4</v>
      </c>
      <c r="H32" s="5">
        <v>0</v>
      </c>
      <c r="I32" s="5">
        <v>0</v>
      </c>
      <c r="J32" s="3">
        <f>I32-H32</f>
        <v>0</v>
      </c>
      <c r="K32">
        <v>90</v>
      </c>
      <c r="L32">
        <f>K32/24</f>
        <v>3.75</v>
      </c>
      <c r="M32" s="11">
        <f>K32/10</f>
        <v>9</v>
      </c>
      <c r="N32" s="5" t="s">
        <v>101</v>
      </c>
      <c r="O32" s="5">
        <v>0</v>
      </c>
      <c r="P32" s="5">
        <v>0</v>
      </c>
    </row>
    <row r="33" spans="1:26">
      <c r="A33" s="5" t="s">
        <v>102</v>
      </c>
      <c r="B33" s="5"/>
      <c r="C33" s="5" t="s">
        <v>103</v>
      </c>
      <c r="D33" s="5" t="s">
        <v>91</v>
      </c>
      <c r="E33" s="33">
        <f>F32+1</f>
        <v>46316</v>
      </c>
      <c r="F33" s="33">
        <f>E33+7</f>
        <v>46323</v>
      </c>
      <c r="G33" s="6" t="str">
        <f>A32</f>
        <v>5.5</v>
      </c>
      <c r="H33" s="5">
        <v>0</v>
      </c>
      <c r="I33" s="5">
        <v>0</v>
      </c>
      <c r="J33" s="3">
        <f>I33-H33</f>
        <v>0</v>
      </c>
      <c r="K33">
        <v>79</v>
      </c>
      <c r="L33">
        <f>K33/24</f>
        <v>3.2916666666666665</v>
      </c>
      <c r="M33" s="11">
        <f>K33/10</f>
        <v>7.9</v>
      </c>
      <c r="N33" s="5" t="s">
        <v>104</v>
      </c>
      <c r="O33" s="5">
        <v>0</v>
      </c>
      <c r="P33" s="5">
        <v>0</v>
      </c>
    </row>
    <row r="34" spans="1:26">
      <c r="A34" s="5" t="s">
        <v>105</v>
      </c>
      <c r="B34" s="5"/>
      <c r="C34" s="5" t="s">
        <v>106</v>
      </c>
      <c r="D34" s="5" t="s">
        <v>91</v>
      </c>
      <c r="E34" s="33">
        <f>F33+1</f>
        <v>46324</v>
      </c>
      <c r="F34" s="33">
        <f>E34+6</f>
        <v>46330</v>
      </c>
      <c r="G34" s="30" t="str">
        <f>CONCATENATE(A28,A47,A29,A47,A30,A47,A31,A47,A32,A47,A33)</f>
        <v>5.1, 5.2, 5.3, 5.4, 5.5, 5.6</v>
      </c>
      <c r="H34" s="5">
        <v>0</v>
      </c>
      <c r="I34" s="5">
        <v>0</v>
      </c>
      <c r="J34" s="3">
        <f>I34-H34</f>
        <v>0</v>
      </c>
      <c r="K34">
        <v>70</v>
      </c>
      <c r="L34">
        <f>K34/24</f>
        <v>2.9166666666666665</v>
      </c>
      <c r="M34" s="11">
        <f>K34/10</f>
        <v>7</v>
      </c>
      <c r="N34" s="5" t="s">
        <v>107</v>
      </c>
      <c r="O34" s="5">
        <v>0</v>
      </c>
      <c r="P34" s="5">
        <v>0</v>
      </c>
    </row>
    <row r="35" spans="1:26">
      <c r="A35" s="28" t="s">
        <v>108</v>
      </c>
      <c r="B35" s="28" t="s">
        <v>32</v>
      </c>
      <c r="C35" s="28" t="s">
        <v>109</v>
      </c>
      <c r="D35" s="28" t="str">
        <f>D33</f>
        <v>Dante</v>
      </c>
      <c r="E35" s="34">
        <f>F34</f>
        <v>46330</v>
      </c>
      <c r="F35" s="34">
        <f>E35</f>
        <v>46330</v>
      </c>
      <c r="G35" s="4" t="s">
        <v>105</v>
      </c>
      <c r="H35" s="5"/>
      <c r="I35" s="5"/>
      <c r="J35" s="3"/>
      <c r="K35" s="11">
        <v>0</v>
      </c>
      <c r="L35" s="11">
        <v>0</v>
      </c>
      <c r="M35" s="11">
        <v>0</v>
      </c>
      <c r="N35" s="5"/>
      <c r="O35" s="5"/>
      <c r="P35" s="5"/>
    </row>
    <row r="36" spans="1:26">
      <c r="A36" s="3">
        <v>6</v>
      </c>
      <c r="B36" s="66" t="s">
        <v>110</v>
      </c>
      <c r="C36" s="66"/>
      <c r="D36" s="3"/>
      <c r="E36" s="34">
        <f>F34+1</f>
        <v>46331</v>
      </c>
      <c r="F36" s="34">
        <f>F39</f>
        <v>46351</v>
      </c>
      <c r="G36" s="4"/>
      <c r="H36" s="3">
        <f>AVERAGE(H37:H39)</f>
        <v>0</v>
      </c>
      <c r="I36" s="3">
        <f>AVERAGE(I37:I39)</f>
        <v>0</v>
      </c>
      <c r="J36" s="3">
        <f>I36-H36</f>
        <v>0</v>
      </c>
      <c r="K36" s="11">
        <f>SUM(K37:K39)</f>
        <v>203</v>
      </c>
      <c r="L36" s="11">
        <f>K36/24</f>
        <v>8.4583333333333339</v>
      </c>
      <c r="M36" s="11">
        <f>K36/10</f>
        <v>20.3</v>
      </c>
      <c r="N36" s="3"/>
      <c r="O36" s="3">
        <v>0</v>
      </c>
      <c r="P36" s="3">
        <v>0</v>
      </c>
    </row>
    <row r="37" spans="1:26">
      <c r="A37" s="5" t="s">
        <v>111</v>
      </c>
      <c r="B37" s="5"/>
      <c r="C37" s="5" t="s">
        <v>112</v>
      </c>
      <c r="D37" s="5" t="s">
        <v>87</v>
      </c>
      <c r="E37" s="33">
        <f>E36</f>
        <v>46331</v>
      </c>
      <c r="F37" s="33">
        <f>E37+7</f>
        <v>46338</v>
      </c>
      <c r="G37" s="30" t="str">
        <f>CONCATENATE(A33,A47,A34)</f>
        <v>5.6, 5.7</v>
      </c>
      <c r="H37" s="5">
        <v>0</v>
      </c>
      <c r="I37" s="5">
        <v>0</v>
      </c>
      <c r="J37" s="3">
        <f>I37-H37</f>
        <v>0</v>
      </c>
      <c r="K37">
        <v>80</v>
      </c>
      <c r="L37">
        <f>K37/24</f>
        <v>3.3333333333333335</v>
      </c>
      <c r="M37" s="11">
        <f>K37/10</f>
        <v>8</v>
      </c>
      <c r="N37" s="5" t="s">
        <v>113</v>
      </c>
      <c r="O37" s="5">
        <v>0</v>
      </c>
      <c r="P37" s="5">
        <v>0</v>
      </c>
    </row>
    <row r="38" spans="1:26">
      <c r="A38" s="5" t="s">
        <v>114</v>
      </c>
      <c r="B38" s="5"/>
      <c r="C38" s="5" t="s">
        <v>115</v>
      </c>
      <c r="D38" s="5" t="s">
        <v>87</v>
      </c>
      <c r="E38" s="33">
        <f>F37+1</f>
        <v>46339</v>
      </c>
      <c r="F38" s="33">
        <f>E38+6</f>
        <v>46345</v>
      </c>
      <c r="G38" s="6" t="str">
        <f>A37</f>
        <v>6.1</v>
      </c>
      <c r="H38" s="5">
        <v>0</v>
      </c>
      <c r="I38" s="5">
        <v>0</v>
      </c>
      <c r="J38" s="3">
        <f>I38-H38</f>
        <v>0</v>
      </c>
      <c r="K38">
        <v>70</v>
      </c>
      <c r="L38">
        <f>K38/24</f>
        <v>2.9166666666666665</v>
      </c>
      <c r="M38" s="11">
        <f>K38/10</f>
        <v>7</v>
      </c>
      <c r="N38" s="5" t="s">
        <v>116</v>
      </c>
      <c r="O38" s="5">
        <v>0</v>
      </c>
      <c r="P38" s="5">
        <v>0</v>
      </c>
    </row>
    <row r="39" spans="1:26">
      <c r="A39" s="5" t="s">
        <v>117</v>
      </c>
      <c r="B39" s="5"/>
      <c r="C39" s="5" t="s">
        <v>118</v>
      </c>
      <c r="D39" s="5" t="s">
        <v>19</v>
      </c>
      <c r="E39" s="33">
        <f>F38+1</f>
        <v>46346</v>
      </c>
      <c r="F39" s="33">
        <f>E39+5</f>
        <v>46351</v>
      </c>
      <c r="G39" s="6" t="str">
        <f>A37</f>
        <v>6.1</v>
      </c>
      <c r="H39" s="5">
        <v>0</v>
      </c>
      <c r="I39" s="5">
        <v>0</v>
      </c>
      <c r="J39" s="3">
        <f>I39-H39</f>
        <v>0</v>
      </c>
      <c r="K39">
        <v>53</v>
      </c>
      <c r="L39">
        <f>K39/24</f>
        <v>2.2083333333333335</v>
      </c>
      <c r="M39" s="11">
        <f>K39/10</f>
        <v>5.3</v>
      </c>
      <c r="N39" s="5" t="s">
        <v>119</v>
      </c>
      <c r="O39" s="5">
        <v>0</v>
      </c>
      <c r="P39" s="5">
        <v>0</v>
      </c>
    </row>
    <row r="40" spans="1:26">
      <c r="A40" s="28" t="s">
        <v>120</v>
      </c>
      <c r="B40" s="28" t="s">
        <v>32</v>
      </c>
      <c r="C40" s="28" t="s">
        <v>121</v>
      </c>
      <c r="D40" s="28" t="s">
        <v>122</v>
      </c>
      <c r="E40" s="34">
        <f>F39</f>
        <v>46351</v>
      </c>
      <c r="F40" s="34">
        <f>F39</f>
        <v>46351</v>
      </c>
      <c r="G40" s="49" t="s">
        <v>117</v>
      </c>
      <c r="H40" s="5"/>
      <c r="I40" s="5"/>
      <c r="J40" s="3"/>
      <c r="K40" s="11">
        <v>0</v>
      </c>
      <c r="L40" s="11">
        <v>0</v>
      </c>
      <c r="M40" s="11">
        <v>0</v>
      </c>
      <c r="N40" s="5"/>
      <c r="O40" s="5"/>
      <c r="P40" s="5"/>
    </row>
    <row r="41" spans="1:26">
      <c r="A41" s="3">
        <v>7</v>
      </c>
      <c r="B41" s="66" t="s">
        <v>123</v>
      </c>
      <c r="C41" s="66"/>
      <c r="D41" s="3"/>
      <c r="E41" s="34">
        <f>F39+1</f>
        <v>46352</v>
      </c>
      <c r="F41" s="34">
        <f>F43</f>
        <v>46372</v>
      </c>
      <c r="G41" s="4"/>
      <c r="H41" s="3">
        <f>AVERAGE(H42:H43)</f>
        <v>0</v>
      </c>
      <c r="I41" s="3">
        <f>AVERAGE(I42:I43)</f>
        <v>0</v>
      </c>
      <c r="J41" s="3">
        <f>I41-H41</f>
        <v>0</v>
      </c>
      <c r="K41" s="11">
        <f>SUM(K42:K43)</f>
        <v>204</v>
      </c>
      <c r="L41" s="11">
        <f>K41/24</f>
        <v>8.5</v>
      </c>
      <c r="M41" s="11">
        <f>K41/10</f>
        <v>20.399999999999999</v>
      </c>
      <c r="N41" s="3"/>
      <c r="O41" s="3">
        <v>0</v>
      </c>
      <c r="P41" s="3">
        <v>0</v>
      </c>
    </row>
    <row r="42" spans="1:26">
      <c r="A42" s="5" t="s">
        <v>124</v>
      </c>
      <c r="B42" s="5"/>
      <c r="C42" s="5" t="s">
        <v>125</v>
      </c>
      <c r="D42" s="5" t="s">
        <v>19</v>
      </c>
      <c r="E42" s="33">
        <f>E41</f>
        <v>46352</v>
      </c>
      <c r="F42" s="33">
        <f>E42+11</f>
        <v>46363</v>
      </c>
      <c r="G42" s="6" t="str">
        <f>CONCATENATE(A18,A47,A25,A47,A33)</f>
        <v>3.4, 4.5, 5.6</v>
      </c>
      <c r="H42" s="5">
        <v>0</v>
      </c>
      <c r="I42" s="5">
        <v>0</v>
      </c>
      <c r="J42" s="3">
        <f>I42-H42</f>
        <v>0</v>
      </c>
      <c r="K42">
        <v>120</v>
      </c>
      <c r="L42">
        <f>K42/24</f>
        <v>5</v>
      </c>
      <c r="M42" s="11">
        <f>K42/10</f>
        <v>12</v>
      </c>
      <c r="N42" s="5" t="s">
        <v>126</v>
      </c>
      <c r="O42" s="5">
        <v>0</v>
      </c>
      <c r="P42" s="5">
        <v>0</v>
      </c>
    </row>
    <row r="43" spans="1:26">
      <c r="A43" s="5" t="s">
        <v>127</v>
      </c>
      <c r="B43" s="5"/>
      <c r="C43" s="5" t="s">
        <v>128</v>
      </c>
      <c r="D43" s="5" t="s">
        <v>19</v>
      </c>
      <c r="E43" s="33">
        <f>F42+1</f>
        <v>46364</v>
      </c>
      <c r="F43" s="33">
        <f>E43+8</f>
        <v>46372</v>
      </c>
      <c r="G43" s="6" t="str">
        <f>CONCATENATE(A38,A47,A39,A47,A42)</f>
        <v>6.2, 6.3, 7.1</v>
      </c>
      <c r="H43" s="5">
        <v>0</v>
      </c>
      <c r="I43" s="5">
        <v>0</v>
      </c>
      <c r="J43" s="3">
        <f>I43-H43</f>
        <v>0</v>
      </c>
      <c r="K43">
        <v>84</v>
      </c>
      <c r="L43">
        <f>K43/24</f>
        <v>3.5</v>
      </c>
      <c r="M43" s="11">
        <f>K43/10</f>
        <v>8.4</v>
      </c>
      <c r="N43" s="5" t="s">
        <v>129</v>
      </c>
      <c r="O43" s="5"/>
      <c r="P43" s="5"/>
    </row>
    <row r="44" spans="1:26">
      <c r="A44" s="28" t="s">
        <v>130</v>
      </c>
      <c r="B44" s="28" t="s">
        <v>32</v>
      </c>
      <c r="C44" s="28" t="s">
        <v>131</v>
      </c>
      <c r="D44" s="28" t="s">
        <v>132</v>
      </c>
      <c r="E44" s="34">
        <f>F43</f>
        <v>46372</v>
      </c>
      <c r="F44" s="34">
        <f>E44</f>
        <v>46372</v>
      </c>
      <c r="G44" s="49" t="s">
        <v>127</v>
      </c>
      <c r="H44" s="5"/>
      <c r="I44" s="5"/>
      <c r="J44" s="3"/>
      <c r="M44" s="11"/>
      <c r="N44" s="5"/>
      <c r="O44" s="5"/>
      <c r="P44" s="5"/>
    </row>
    <row r="46" spans="1:26" ht="15.75">
      <c r="F46" s="67" t="s">
        <v>133</v>
      </c>
      <c r="G46" s="68"/>
      <c r="H46" s="68"/>
      <c r="I46" s="69"/>
      <c r="J46" s="7"/>
    </row>
    <row r="47" spans="1:26" ht="16.5" customHeight="1">
      <c r="A47" t="s">
        <v>134</v>
      </c>
      <c r="B47" s="10"/>
      <c r="C47" s="29" t="s">
        <v>135</v>
      </c>
      <c r="D47" s="31"/>
      <c r="E47" s="35" t="s">
        <v>136</v>
      </c>
      <c r="F47" s="70" t="s">
        <v>137</v>
      </c>
      <c r="G47" s="71"/>
      <c r="H47" s="12" t="s">
        <v>138</v>
      </c>
      <c r="I47" s="13">
        <v>0.84</v>
      </c>
      <c r="J47" s="7"/>
      <c r="M47" s="20" t="s">
        <v>139</v>
      </c>
      <c r="N47" s="24" t="s">
        <v>140</v>
      </c>
      <c r="O47" s="17" t="s">
        <v>141</v>
      </c>
      <c r="Z47" s="47"/>
    </row>
    <row r="48" spans="1:26" ht="15.75">
      <c r="C48" s="19" t="s">
        <v>142</v>
      </c>
      <c r="D48" s="22">
        <v>0.1</v>
      </c>
      <c r="E48" s="18" t="s">
        <v>143</v>
      </c>
      <c r="F48" s="70" t="s">
        <v>144</v>
      </c>
      <c r="G48" s="71"/>
      <c r="H48" s="12" t="s">
        <v>145</v>
      </c>
      <c r="I48" s="23">
        <v>1.01</v>
      </c>
      <c r="M48" s="21" t="s">
        <v>146</v>
      </c>
      <c r="N48">
        <f>K14/2+K20/2</f>
        <v>1015.5</v>
      </c>
      <c r="O48" s="18">
        <f>N48/24</f>
        <v>42.3125</v>
      </c>
      <c r="Z48" s="5"/>
    </row>
    <row r="49" spans="3:26" ht="45.75" customHeight="1">
      <c r="C49" s="9" t="s">
        <v>147</v>
      </c>
      <c r="D49" s="32">
        <v>0.15</v>
      </c>
      <c r="E49" s="18" t="s">
        <v>148</v>
      </c>
      <c r="F49" s="70" t="s">
        <v>149</v>
      </c>
      <c r="G49" s="71"/>
      <c r="H49" s="14" t="s">
        <v>150</v>
      </c>
      <c r="I49" s="23">
        <v>165</v>
      </c>
      <c r="M49" s="21" t="s">
        <v>151</v>
      </c>
      <c r="N49">
        <f>N48</f>
        <v>1015.5</v>
      </c>
      <c r="O49" s="18">
        <f>N49/24</f>
        <v>42.3125</v>
      </c>
      <c r="Z49" s="5"/>
    </row>
    <row r="50" spans="3:26" ht="15.75">
      <c r="C50" s="9" t="s">
        <v>152</v>
      </c>
      <c r="D50" s="32">
        <v>0.2</v>
      </c>
      <c r="E50" s="18" t="s">
        <v>153</v>
      </c>
      <c r="F50" s="70" t="s">
        <v>154</v>
      </c>
      <c r="G50" s="71"/>
      <c r="H50" s="12" t="s">
        <v>155</v>
      </c>
      <c r="I50" s="23">
        <v>6</v>
      </c>
      <c r="M50" s="21" t="s">
        <v>91</v>
      </c>
      <c r="N50">
        <f>K8/2+K27+K37+K38</f>
        <v>1063.5</v>
      </c>
      <c r="O50" s="18">
        <f>N50/24</f>
        <v>44.3125</v>
      </c>
      <c r="Z50" s="5"/>
    </row>
    <row r="51" spans="3:26" ht="15.75">
      <c r="C51" s="9" t="s">
        <v>156</v>
      </c>
      <c r="D51" s="32">
        <v>0.3</v>
      </c>
      <c r="E51" s="36" t="s">
        <v>157</v>
      </c>
      <c r="F51" s="72" t="s">
        <v>158</v>
      </c>
      <c r="G51" s="72"/>
      <c r="H51" s="72"/>
      <c r="I51" s="72"/>
      <c r="M51" s="22" t="s">
        <v>19</v>
      </c>
      <c r="N51" s="25">
        <f>K2+K8/2+K39+K41</f>
        <v>967.5</v>
      </c>
      <c r="O51" s="18">
        <f>N51/24</f>
        <v>40.3125</v>
      </c>
      <c r="Z51" s="5"/>
    </row>
    <row r="52" spans="3:26" ht="49.5" customHeight="1">
      <c r="C52" s="9" t="s">
        <v>159</v>
      </c>
      <c r="D52" s="32">
        <v>0.15</v>
      </c>
      <c r="E52" s="17" t="s">
        <v>160</v>
      </c>
      <c r="F52" s="70" t="s">
        <v>161</v>
      </c>
      <c r="G52" s="71"/>
      <c r="H52" s="14" t="s">
        <v>162</v>
      </c>
      <c r="I52" s="23">
        <v>145.1</v>
      </c>
      <c r="K52" s="7"/>
      <c r="L52" s="7"/>
      <c r="M52" s="7"/>
      <c r="N52" s="26" t="s">
        <v>163</v>
      </c>
      <c r="O52" s="17" t="s">
        <v>164</v>
      </c>
      <c r="Z52" s="5"/>
    </row>
    <row r="53" spans="3:26" ht="42.75" customHeight="1">
      <c r="C53" s="9" t="s">
        <v>165</v>
      </c>
      <c r="D53" s="32">
        <v>0.05</v>
      </c>
      <c r="E53" s="38">
        <f>F6</f>
        <v>46133</v>
      </c>
      <c r="F53" s="72" t="s">
        <v>166</v>
      </c>
      <c r="G53" s="72"/>
      <c r="H53" s="72"/>
      <c r="I53" s="73"/>
      <c r="K53" s="7"/>
      <c r="L53" s="7"/>
      <c r="M53" s="7"/>
      <c r="N53" s="27">
        <f>SUM(K41+K36+K27+K20+K14+K8+K2)</f>
        <v>4062</v>
      </c>
      <c r="O53" s="18">
        <f>SUM(O48:O51)</f>
        <v>169.25</v>
      </c>
      <c r="Z53" s="5"/>
    </row>
    <row r="54" spans="3:26" ht="45" customHeight="1">
      <c r="C54" s="9" t="s">
        <v>167</v>
      </c>
      <c r="D54" s="37">
        <v>0.05</v>
      </c>
      <c r="E54" s="39" t="s">
        <v>168</v>
      </c>
      <c r="F54" s="70" t="s">
        <v>169</v>
      </c>
      <c r="G54" s="71"/>
      <c r="H54" s="14" t="s">
        <v>170</v>
      </c>
      <c r="I54" s="15">
        <v>28</v>
      </c>
      <c r="N54" s="27">
        <f>SUM(N48:N51)</f>
        <v>4062</v>
      </c>
      <c r="O54" s="19">
        <f>SUM(L2+L8+L14+L20+L27+L36+L41)</f>
        <v>169.25</v>
      </c>
      <c r="Z54" s="5"/>
    </row>
    <row r="55" spans="3:26" ht="38.25" customHeight="1">
      <c r="C55" s="8" t="s">
        <v>171</v>
      </c>
      <c r="D55" s="32">
        <f>SUM(D48:D54)</f>
        <v>1</v>
      </c>
      <c r="E55" s="38">
        <f>F12</f>
        <v>46165</v>
      </c>
      <c r="F55" s="70" t="s">
        <v>172</v>
      </c>
      <c r="G55" s="70"/>
      <c r="H55" s="70"/>
      <c r="I55" s="74"/>
      <c r="N55" s="48" t="s">
        <v>173</v>
      </c>
      <c r="Z55" s="5"/>
    </row>
    <row r="56" spans="3:26" ht="63" customHeight="1">
      <c r="E56" s="50" t="s">
        <v>174</v>
      </c>
      <c r="F56" s="75" t="s">
        <v>175</v>
      </c>
      <c r="G56" s="75"/>
      <c r="H56" s="76"/>
      <c r="I56" s="16">
        <v>4062</v>
      </c>
      <c r="N56" s="19">
        <f>M41+M36+M27+M20+M14+M8+M2</f>
        <v>406.2</v>
      </c>
      <c r="Z56" s="5"/>
    </row>
    <row r="57" spans="3:26">
      <c r="E57" s="18" t="s">
        <v>176</v>
      </c>
      <c r="Z57" s="5"/>
    </row>
    <row r="58" spans="3:26">
      <c r="E58" s="19" t="s">
        <v>177</v>
      </c>
      <c r="Z58" s="5"/>
    </row>
    <row r="59" spans="3:26">
      <c r="Z59" s="5"/>
    </row>
    <row r="60" spans="3:26">
      <c r="Z60" s="5"/>
    </row>
    <row r="61" spans="3:26">
      <c r="Z61" s="5"/>
    </row>
    <row r="62" spans="3:26">
      <c r="Z62" s="5"/>
    </row>
  </sheetData>
  <mergeCells count="18">
    <mergeCell ref="F56:H56"/>
    <mergeCell ref="F51:I51"/>
    <mergeCell ref="F52:G52"/>
    <mergeCell ref="F53:I53"/>
    <mergeCell ref="F54:G54"/>
    <mergeCell ref="F55:I55"/>
    <mergeCell ref="F46:I46"/>
    <mergeCell ref="F47:G47"/>
    <mergeCell ref="F48:G48"/>
    <mergeCell ref="F49:G49"/>
    <mergeCell ref="F50:G50"/>
    <mergeCell ref="B36:C36"/>
    <mergeCell ref="B41:C41"/>
    <mergeCell ref="B2:C2"/>
    <mergeCell ref="B8:C8"/>
    <mergeCell ref="B14:C14"/>
    <mergeCell ref="B20:C20"/>
    <mergeCell ref="B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C955-DDAB-4315-866A-97ABB4C184FD}">
  <dimension ref="B2:P30"/>
  <sheetViews>
    <sheetView workbookViewId="0">
      <selection activeCell="R21" sqref="R21"/>
    </sheetView>
  </sheetViews>
  <sheetFormatPr defaultRowHeight="15"/>
  <cols>
    <col min="2" max="2" width="4.5703125" bestFit="1" customWidth="1"/>
    <col min="3" max="3" width="66" bestFit="1" customWidth="1"/>
    <col min="4" max="4" width="11.28515625" bestFit="1" customWidth="1"/>
    <col min="5" max="5" width="14.140625" bestFit="1" customWidth="1"/>
    <col min="6" max="6" width="12.42578125" bestFit="1" customWidth="1"/>
    <col min="7" max="7" width="8.5703125" bestFit="1" customWidth="1"/>
    <col min="8" max="8" width="12.7109375" bestFit="1" customWidth="1"/>
    <col min="9" max="9" width="32.140625" bestFit="1" customWidth="1"/>
    <col min="10" max="10" width="13.42578125" bestFit="1" customWidth="1"/>
    <col min="11" max="11" width="19.85546875" bestFit="1" customWidth="1"/>
    <col min="13" max="13" width="12.85546875" customWidth="1"/>
    <col min="14" max="14" width="17.42578125" customWidth="1"/>
    <col min="15" max="15" width="23.85546875" customWidth="1"/>
    <col min="16" max="16" width="27.85546875" customWidth="1"/>
  </cols>
  <sheetData>
    <row r="2" spans="2:16">
      <c r="B2" s="40" t="s">
        <v>178</v>
      </c>
      <c r="C2" s="41" t="s">
        <v>179</v>
      </c>
      <c r="D2" s="41" t="s">
        <v>180</v>
      </c>
      <c r="E2" s="41" t="s">
        <v>181</v>
      </c>
      <c r="F2" s="41" t="s">
        <v>182</v>
      </c>
      <c r="G2" s="41" t="s">
        <v>183</v>
      </c>
      <c r="H2" s="41" t="s">
        <v>184</v>
      </c>
      <c r="I2" s="41" t="s">
        <v>185</v>
      </c>
      <c r="J2" s="41" t="s">
        <v>186</v>
      </c>
      <c r="K2" s="41" t="s">
        <v>187</v>
      </c>
    </row>
    <row r="3" spans="2:16">
      <c r="B3" s="42" t="s">
        <v>188</v>
      </c>
      <c r="C3" s="43" t="s">
        <v>189</v>
      </c>
      <c r="D3" s="43" t="s">
        <v>190</v>
      </c>
      <c r="E3" s="43" t="s">
        <v>191</v>
      </c>
      <c r="F3" s="43" t="s">
        <v>192</v>
      </c>
      <c r="G3" s="43" t="s">
        <v>192</v>
      </c>
      <c r="H3" s="43" t="s">
        <v>193</v>
      </c>
      <c r="I3" s="43" t="s">
        <v>194</v>
      </c>
      <c r="J3" s="43" t="s">
        <v>195</v>
      </c>
      <c r="K3" s="43" t="s">
        <v>196</v>
      </c>
    </row>
    <row r="4" spans="2:16">
      <c r="B4" s="42" t="s">
        <v>197</v>
      </c>
      <c r="C4" s="43" t="s">
        <v>198</v>
      </c>
      <c r="D4" s="43" t="s">
        <v>190</v>
      </c>
      <c r="E4" s="43" t="s">
        <v>191</v>
      </c>
      <c r="F4" s="43" t="s">
        <v>192</v>
      </c>
      <c r="G4" s="43" t="s">
        <v>199</v>
      </c>
      <c r="H4" s="43" t="s">
        <v>200</v>
      </c>
      <c r="I4" s="43" t="s">
        <v>201</v>
      </c>
      <c r="J4" s="43" t="s">
        <v>202</v>
      </c>
      <c r="K4" s="43" t="s">
        <v>203</v>
      </c>
    </row>
    <row r="5" spans="2:16">
      <c r="B5" s="42" t="s">
        <v>204</v>
      </c>
      <c r="C5" s="43" t="s">
        <v>205</v>
      </c>
      <c r="D5" s="43" t="s">
        <v>206</v>
      </c>
      <c r="E5" s="43" t="s">
        <v>207</v>
      </c>
      <c r="F5" s="43" t="s">
        <v>199</v>
      </c>
      <c r="G5" s="43" t="s">
        <v>192</v>
      </c>
      <c r="H5" s="43" t="s">
        <v>200</v>
      </c>
      <c r="I5" s="43" t="s">
        <v>208</v>
      </c>
      <c r="J5" s="43" t="s">
        <v>209</v>
      </c>
      <c r="K5" s="43" t="s">
        <v>210</v>
      </c>
    </row>
    <row r="6" spans="2:16">
      <c r="B6" s="42" t="s">
        <v>211</v>
      </c>
      <c r="C6" s="43" t="s">
        <v>212</v>
      </c>
      <c r="D6" s="43" t="s">
        <v>190</v>
      </c>
      <c r="E6" s="43" t="s">
        <v>213</v>
      </c>
      <c r="F6" s="43" t="s">
        <v>199</v>
      </c>
      <c r="G6" s="43" t="s">
        <v>199</v>
      </c>
      <c r="H6" s="43" t="s">
        <v>214</v>
      </c>
      <c r="I6" s="43" t="s">
        <v>215</v>
      </c>
      <c r="J6" s="43" t="s">
        <v>216</v>
      </c>
      <c r="K6" s="43" t="s">
        <v>217</v>
      </c>
    </row>
    <row r="7" spans="2:16">
      <c r="B7" s="42" t="s">
        <v>218</v>
      </c>
      <c r="C7" s="43" t="s">
        <v>219</v>
      </c>
      <c r="D7" s="43" t="s">
        <v>206</v>
      </c>
      <c r="E7" s="43" t="s">
        <v>207</v>
      </c>
      <c r="F7" s="43" t="s">
        <v>199</v>
      </c>
      <c r="G7" s="43" t="s">
        <v>199</v>
      </c>
      <c r="H7" s="43" t="s">
        <v>214</v>
      </c>
      <c r="I7" s="43" t="s">
        <v>220</v>
      </c>
      <c r="J7" s="43" t="s">
        <v>221</v>
      </c>
      <c r="K7" s="43" t="s">
        <v>222</v>
      </c>
    </row>
    <row r="8" spans="2:16">
      <c r="B8" s="42" t="s">
        <v>223</v>
      </c>
      <c r="C8" s="43" t="s">
        <v>224</v>
      </c>
      <c r="D8" s="43" t="s">
        <v>190</v>
      </c>
      <c r="E8" s="43" t="s">
        <v>213</v>
      </c>
      <c r="F8" s="43" t="s">
        <v>192</v>
      </c>
      <c r="G8" s="43" t="s">
        <v>192</v>
      </c>
      <c r="H8" s="43" t="s">
        <v>193</v>
      </c>
      <c r="I8" s="43" t="s">
        <v>225</v>
      </c>
      <c r="J8" s="43" t="s">
        <v>216</v>
      </c>
      <c r="K8" s="43" t="s">
        <v>203</v>
      </c>
    </row>
    <row r="9" spans="2:16">
      <c r="B9" s="42" t="s">
        <v>226</v>
      </c>
      <c r="C9" s="43" t="s">
        <v>227</v>
      </c>
      <c r="D9" s="43" t="s">
        <v>206</v>
      </c>
      <c r="E9" s="43" t="s">
        <v>207</v>
      </c>
      <c r="F9" s="43" t="s">
        <v>199</v>
      </c>
      <c r="G9" s="43" t="s">
        <v>199</v>
      </c>
      <c r="H9" s="43" t="s">
        <v>214</v>
      </c>
      <c r="I9" s="43" t="s">
        <v>228</v>
      </c>
      <c r="J9" s="43" t="s">
        <v>209</v>
      </c>
      <c r="K9" s="43" t="s">
        <v>222</v>
      </c>
    </row>
    <row r="10" spans="2:16">
      <c r="B10" s="42" t="s">
        <v>229</v>
      </c>
      <c r="C10" s="43" t="s">
        <v>230</v>
      </c>
      <c r="D10" s="43" t="s">
        <v>190</v>
      </c>
      <c r="E10" s="43" t="s">
        <v>191</v>
      </c>
      <c r="F10" s="43" t="s">
        <v>231</v>
      </c>
      <c r="G10" s="43" t="s">
        <v>199</v>
      </c>
      <c r="H10" s="43" t="s">
        <v>232</v>
      </c>
      <c r="I10" s="43" t="s">
        <v>233</v>
      </c>
      <c r="J10" s="43" t="s">
        <v>234</v>
      </c>
      <c r="K10" s="43" t="s">
        <v>235</v>
      </c>
    </row>
    <row r="11" spans="2:16">
      <c r="B11" s="42" t="s">
        <v>236</v>
      </c>
      <c r="C11" s="43" t="s">
        <v>237</v>
      </c>
      <c r="D11" s="43" t="s">
        <v>206</v>
      </c>
      <c r="E11" s="43" t="s">
        <v>207</v>
      </c>
      <c r="F11" s="43" t="s">
        <v>231</v>
      </c>
      <c r="G11" s="43" t="s">
        <v>231</v>
      </c>
      <c r="H11" s="43" t="s">
        <v>232</v>
      </c>
      <c r="I11" s="43" t="s">
        <v>238</v>
      </c>
      <c r="J11" s="43" t="s">
        <v>234</v>
      </c>
      <c r="K11" s="43" t="s">
        <v>239</v>
      </c>
    </row>
    <row r="12" spans="2:16">
      <c r="B12" s="42" t="s">
        <v>240</v>
      </c>
      <c r="C12" s="43" t="s">
        <v>241</v>
      </c>
      <c r="D12" s="43" t="s">
        <v>190</v>
      </c>
      <c r="E12" s="43" t="s">
        <v>191</v>
      </c>
      <c r="F12" s="43" t="s">
        <v>231</v>
      </c>
      <c r="G12" s="43" t="s">
        <v>192</v>
      </c>
      <c r="H12" s="43" t="s">
        <v>200</v>
      </c>
      <c r="I12" s="43" t="s">
        <v>242</v>
      </c>
      <c r="J12" s="43" t="s">
        <v>202</v>
      </c>
      <c r="K12" s="43" t="s">
        <v>210</v>
      </c>
    </row>
    <row r="15" spans="2:16" ht="20.25" customHeight="1">
      <c r="M15" s="63" t="s">
        <v>243</v>
      </c>
      <c r="N15" s="64"/>
      <c r="O15" s="64"/>
      <c r="P15" s="65"/>
    </row>
    <row r="16" spans="2:16" ht="19.5" customHeight="1">
      <c r="M16" s="55" t="s">
        <v>244</v>
      </c>
      <c r="N16" s="61" t="s">
        <v>245</v>
      </c>
      <c r="O16" s="61" t="s">
        <v>246</v>
      </c>
      <c r="P16" s="61" t="s">
        <v>247</v>
      </c>
    </row>
    <row r="17" spans="13:16" ht="20.25" customHeight="1">
      <c r="M17" s="56"/>
      <c r="N17" s="62"/>
      <c r="O17" s="62"/>
      <c r="P17" s="62"/>
    </row>
    <row r="18" spans="13:16" ht="48.75" customHeight="1">
      <c r="M18" s="55" t="s">
        <v>248</v>
      </c>
      <c r="N18" s="57" t="s">
        <v>249</v>
      </c>
      <c r="O18" s="57" t="s">
        <v>250</v>
      </c>
      <c r="P18" s="57" t="s">
        <v>251</v>
      </c>
    </row>
    <row r="19" spans="13:16" ht="33" customHeight="1">
      <c r="M19" s="56"/>
      <c r="N19" s="58"/>
      <c r="O19" s="58"/>
      <c r="P19" s="58"/>
    </row>
    <row r="20" spans="13:16" ht="40.5" customHeight="1">
      <c r="M20" s="55" t="s">
        <v>252</v>
      </c>
      <c r="N20" s="57" t="s">
        <v>253</v>
      </c>
      <c r="O20" s="57" t="s">
        <v>254</v>
      </c>
      <c r="P20" s="57" t="s">
        <v>255</v>
      </c>
    </row>
    <row r="21" spans="13:16" ht="38.25" customHeight="1">
      <c r="M21" s="56"/>
      <c r="N21" s="58"/>
      <c r="O21" s="58"/>
      <c r="P21" s="58"/>
    </row>
    <row r="22" spans="13:16" ht="20.25" customHeight="1">
      <c r="M22" s="55" t="s">
        <v>256</v>
      </c>
      <c r="N22" s="57" t="s">
        <v>257</v>
      </c>
      <c r="O22" s="57" t="s">
        <v>258</v>
      </c>
      <c r="P22" s="57" t="s">
        <v>259</v>
      </c>
    </row>
    <row r="23" spans="13:16" ht="50.25" customHeight="1">
      <c r="M23" s="56"/>
      <c r="N23" s="58"/>
      <c r="O23" s="58"/>
      <c r="P23" s="58"/>
    </row>
    <row r="24" spans="13:16" ht="30" customHeight="1">
      <c r="M24" s="5"/>
      <c r="N24" s="5"/>
      <c r="O24" s="5"/>
      <c r="P24" s="5"/>
    </row>
    <row r="25" spans="13:16" ht="30" customHeight="1">
      <c r="M25" s="59" t="s">
        <v>260</v>
      </c>
      <c r="N25" s="53"/>
      <c r="O25" s="53"/>
      <c r="P25" s="60"/>
    </row>
    <row r="26" spans="13:16" ht="30" customHeight="1">
      <c r="M26" s="45" t="s">
        <v>184</v>
      </c>
      <c r="N26" s="53" t="s">
        <v>261</v>
      </c>
      <c r="O26" s="53"/>
      <c r="P26" s="54"/>
    </row>
    <row r="27" spans="13:16" ht="30" customHeight="1">
      <c r="M27" s="46" t="s">
        <v>193</v>
      </c>
      <c r="N27" s="51" t="s">
        <v>262</v>
      </c>
      <c r="O27" s="51"/>
      <c r="P27" s="52"/>
    </row>
    <row r="28" spans="13:16" ht="30" customHeight="1">
      <c r="M28" s="46" t="s">
        <v>263</v>
      </c>
      <c r="N28" s="51" t="s">
        <v>264</v>
      </c>
      <c r="O28" s="51"/>
      <c r="P28" s="52"/>
    </row>
    <row r="29" spans="13:16" ht="30" customHeight="1">
      <c r="M29" s="46" t="s">
        <v>214</v>
      </c>
      <c r="N29" s="51" t="s">
        <v>265</v>
      </c>
      <c r="O29" s="51"/>
      <c r="P29" s="52"/>
    </row>
    <row r="30" spans="13:16" ht="30" customHeight="1">
      <c r="M30" s="46" t="s">
        <v>266</v>
      </c>
      <c r="N30" s="51" t="s">
        <v>267</v>
      </c>
      <c r="O30" s="51"/>
      <c r="P30" s="52"/>
    </row>
  </sheetData>
  <mergeCells count="23">
    <mergeCell ref="M16:M17"/>
    <mergeCell ref="N16:N17"/>
    <mergeCell ref="O16:O17"/>
    <mergeCell ref="P16:P17"/>
    <mergeCell ref="M15:P15"/>
    <mergeCell ref="M18:M19"/>
    <mergeCell ref="N18:N19"/>
    <mergeCell ref="O18:O19"/>
    <mergeCell ref="P18:P19"/>
    <mergeCell ref="M20:M21"/>
    <mergeCell ref="N20:N21"/>
    <mergeCell ref="O20:O21"/>
    <mergeCell ref="P20:P21"/>
    <mergeCell ref="M22:M23"/>
    <mergeCell ref="N22:N23"/>
    <mergeCell ref="O22:O23"/>
    <mergeCell ref="P22:P23"/>
    <mergeCell ref="M25:P25"/>
    <mergeCell ref="N27:P27"/>
    <mergeCell ref="N28:P28"/>
    <mergeCell ref="N29:P29"/>
    <mergeCell ref="N30:P30"/>
    <mergeCell ref="N26:P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andres flores hidalgo</dc:creator>
  <cp:keywords/>
  <dc:description/>
  <cp:lastModifiedBy/>
  <cp:revision/>
  <dcterms:created xsi:type="dcterms:W3CDTF">2015-06-05T18:19:34Z</dcterms:created>
  <dcterms:modified xsi:type="dcterms:W3CDTF">2026-05-07T20:49:56Z</dcterms:modified>
  <cp:category/>
  <cp:contentStatus/>
</cp:coreProperties>
</file>